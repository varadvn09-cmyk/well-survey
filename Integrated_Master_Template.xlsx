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01" firstSheet="0" activeTab="0" autoFilterDateGrouping="1"/>
  </bookViews>
  <sheets>
    <sheet name="Irrigation" sheetId="1" state="visible" r:id="rId1"/>
    <sheet name="PWS" sheetId="2" state="visible" r:id="rId2"/>
    <sheet name="calc" sheetId="3" state="visible" r:id="rId3"/>
    <sheet name="All Collected Data" sheetId="4" state="visible" r:id="rId4"/>
    <sheet name="MRSAC Format" sheetId="5" state="visible" r:id="rId5"/>
  </sheets>
  <definedNames>
    <definedName name="_xlnm.Print_Area" localSheetId="0">'Irrigation'!$A$1:$Q$101</definedName>
    <definedName name="_xlnm.Print_Area" localSheetId="1">'PWS'!$A$1:$Q$92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0"/>
    <numFmt numFmtId="166" formatCode="dd/mm/yy;@"/>
    <numFmt numFmtId="167" formatCode="h:mm:ss;@"/>
    <numFmt numFmtId="168" formatCode="dd/mm/yyyy;@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sz val="10"/>
      <scheme val="minor"/>
    </font>
    <font>
      <name val="Cambria"/>
      <family val="1"/>
      <color theme="1"/>
      <sz val="10"/>
    </font>
    <font>
      <name val="Calibri"/>
      <family val="2"/>
      <color theme="1"/>
      <sz val="11"/>
      <scheme val="minor"/>
    </font>
    <font>
      <name val="Cambria"/>
      <family val="1"/>
      <color theme="1"/>
      <sz val="9"/>
    </font>
    <font>
      <name val="Cambria"/>
      <family val="1"/>
      <color theme="1"/>
      <sz val="12"/>
    </font>
    <font>
      <name val="Calibri"/>
      <family val="2"/>
      <color theme="1"/>
      <sz val="9"/>
      <scheme val="minor"/>
    </font>
    <font>
      <name val="Calibri"/>
      <family val="2"/>
      <b val="1"/>
      <sz val="10"/>
      <scheme val="minor"/>
    </font>
    <font>
      <name val="Calibri"/>
      <family val="2"/>
      <sz val="11"/>
      <scheme val="minor"/>
    </font>
    <font>
      <name val="Cambria"/>
      <family val="1"/>
      <b val="1"/>
      <color theme="1"/>
      <sz val="12"/>
    </font>
    <font>
      <name val="Calibri"/>
      <b val="1"/>
      <color rgb="FFFFFFFF"/>
      <sz val="11"/>
    </font>
    <font>
      <name val="Calibri"/>
      <b val="1"/>
      <color rgb="FF1F4E79"/>
      <sz val="11"/>
    </font>
    <font>
      <name val="Calibri"/>
      <b val="1"/>
      <color rgb="FFC00000"/>
      <sz val="12"/>
    </font>
    <font>
      <name val="Calibri"/>
      <b val="1"/>
      <color rgb="00FFFFFF"/>
      <sz val="11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001E293B"/>
        <bgColor rgb="001E293B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2">
    <xf numFmtId="0" fontId="8" fillId="0" borderId="0"/>
    <xf numFmtId="0" fontId="8" fillId="0" borderId="0"/>
  </cellStyleXfs>
  <cellXfs count="16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0" borderId="5" applyAlignment="1" pivotButton="0" quotePrefix="0" xfId="0">
      <alignment horizontal="right" vertical="center"/>
    </xf>
    <xf numFmtId="0" fontId="4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vertical="center"/>
    </xf>
    <xf numFmtId="0" fontId="2" fillId="0" borderId="6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7" fillId="0" borderId="20" applyAlignment="1" pivotButton="0" quotePrefix="0" xfId="0">
      <alignment vertical="top" wrapText="1"/>
    </xf>
    <xf numFmtId="0" fontId="2" fillId="0" borderId="20" applyAlignment="1" pivotButton="0" quotePrefix="0" xfId="0">
      <alignment horizontal="left" vertical="top" wrapText="1"/>
    </xf>
    <xf numFmtId="0" fontId="2" fillId="0" borderId="1" applyAlignment="1" pivotButton="0" quotePrefix="0" xfId="1">
      <alignment horizontal="right" vertical="top" wrapText="1"/>
    </xf>
    <xf numFmtId="0" fontId="2" fillId="0" borderId="1" applyAlignment="1" pivotButton="0" quotePrefix="0" xfId="1">
      <alignment vertical="top" wrapText="1"/>
    </xf>
    <xf numFmtId="0" fontId="2" fillId="0" borderId="10" applyAlignment="1" pivotButton="0" quotePrefix="0" xfId="0">
      <alignment horizontal="right" vertical="center"/>
    </xf>
    <xf numFmtId="0" fontId="2" fillId="0" borderId="5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9" fillId="0" borderId="20" applyAlignment="1" pivotButton="0" quotePrefix="0" xfId="0">
      <alignment vertical="top" wrapText="1"/>
    </xf>
    <xf numFmtId="1" fontId="2" fillId="0" borderId="20" applyAlignment="1" pivotButton="0" quotePrefix="0" xfId="0">
      <alignment horizontal="left" vertical="top" wrapText="1"/>
    </xf>
    <xf numFmtId="0" fontId="2" fillId="0" borderId="20" applyAlignment="1" pivotButton="0" quotePrefix="0" xfId="0">
      <alignment horizontal="left" vertical="center" wrapText="1"/>
    </xf>
    <xf numFmtId="1" fontId="2" fillId="0" borderId="20" applyAlignment="1" pivotButton="0" quotePrefix="0" xfId="0">
      <alignment horizontal="left" vertical="center" wrapText="1"/>
    </xf>
    <xf numFmtId="164" fontId="2" fillId="0" borderId="16" applyAlignment="1" pivotButton="0" quotePrefix="0" xfId="0">
      <alignment horizontal="right" vertical="center"/>
    </xf>
    <xf numFmtId="1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2" fontId="2" fillId="2" borderId="1" applyAlignment="1" pivotButton="0" quotePrefix="0" xfId="0">
      <alignment vertical="center"/>
    </xf>
    <xf numFmtId="0" fontId="2" fillId="2" borderId="16" applyAlignment="1" pivotButton="0" quotePrefix="0" xfId="0">
      <alignment horizontal="right" vertical="center"/>
    </xf>
    <xf numFmtId="2" fontId="2" fillId="2" borderId="1" applyAlignment="1" pivotButton="0" quotePrefix="0" xfId="0">
      <alignment horizontal="center" vertical="center"/>
    </xf>
    <xf numFmtId="1" fontId="2" fillId="2" borderId="1" applyAlignment="1" pivotButton="0" quotePrefix="0" xfId="1">
      <alignment vertical="top" wrapText="1"/>
    </xf>
    <xf numFmtId="0" fontId="5" fillId="2" borderId="16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2" fillId="2" borderId="17" applyAlignment="1" pivotButton="0" quotePrefix="0" xfId="0">
      <alignment vertical="center"/>
    </xf>
    <xf numFmtId="0" fontId="2" fillId="2" borderId="15" applyAlignment="1" pivotButton="0" quotePrefix="0" xfId="0">
      <alignment vertical="center"/>
    </xf>
    <xf numFmtId="164" fontId="2" fillId="0" borderId="2" applyAlignment="1" pivotButton="0" quotePrefix="0" xfId="0">
      <alignment horizontal="right" vertical="center"/>
    </xf>
    <xf numFmtId="0" fontId="2" fillId="2" borderId="0" applyAlignment="1" pivotButton="0" quotePrefix="0" xfId="0">
      <alignment vertical="center"/>
    </xf>
    <xf numFmtId="0" fontId="4" fillId="0" borderId="1" applyAlignment="1" pivotButton="0" quotePrefix="0" xfId="1">
      <alignment horizontal="right" vertical="top" wrapText="1"/>
    </xf>
    <xf numFmtId="0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vertical="center"/>
    </xf>
    <xf numFmtId="0" fontId="7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1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top"/>
    </xf>
    <xf numFmtId="0" fontId="11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1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2" fontId="6" fillId="0" borderId="1" applyAlignment="1" pivotButton="0" quotePrefix="0" xfId="0">
      <alignment horizontal="center" vertical="center"/>
    </xf>
    <xf numFmtId="2" fontId="6" fillId="2" borderId="1" applyAlignment="1" pivotButton="0" quotePrefix="0" xfId="0">
      <alignment horizontal="center" vertical="center"/>
    </xf>
    <xf numFmtId="165" fontId="6" fillId="0" borderId="1" applyAlignment="1" pivotButton="0" quotePrefix="0" xfId="0">
      <alignment vertical="center"/>
    </xf>
    <xf numFmtId="2" fontId="6" fillId="0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2" fontId="6" fillId="3" borderId="1" applyAlignment="1" pivotButton="0" quotePrefix="0" xfId="0">
      <alignment horizontal="center" vertical="center"/>
    </xf>
    <xf numFmtId="0" fontId="0" fillId="2" borderId="1" pivotButton="0" quotePrefix="0" xfId="0"/>
    <xf numFmtId="165" fontId="2" fillId="0" borderId="1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 wrapText="1"/>
    </xf>
    <xf numFmtId="49" fontId="10" fillId="0" borderId="0" applyAlignment="1" pivotButton="0" quotePrefix="0" xfId="0">
      <alignment horizontal="left" vertical="center"/>
    </xf>
    <xf numFmtId="49" fontId="10" fillId="0" borderId="0" applyAlignment="1" pivotButton="0" quotePrefix="0" xfId="0">
      <alignment horizontal="left" vertical="center" wrapText="1"/>
    </xf>
    <xf numFmtId="49" fontId="0" fillId="0" borderId="0" pivotButton="0" quotePrefix="0" xfId="0"/>
    <xf numFmtId="0" fontId="14" fillId="0" borderId="1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center" vertical="center"/>
    </xf>
    <xf numFmtId="2" fontId="0" fillId="0" borderId="0" pivotButton="0" quotePrefix="0" xfId="0"/>
    <xf numFmtId="165" fontId="6" fillId="0" borderId="7" applyAlignment="1" pivotButton="0" quotePrefix="0" xfId="0">
      <alignment vertical="center"/>
    </xf>
    <xf numFmtId="2" fontId="6" fillId="0" borderId="7" applyAlignment="1" pivotButton="0" quotePrefix="0" xfId="0">
      <alignment vertical="center"/>
    </xf>
    <xf numFmtId="165" fontId="10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right" vertical="center"/>
    </xf>
    <xf numFmtId="0" fontId="17" fillId="5" borderId="22" applyAlignment="1" pivotButton="0" quotePrefix="0" xfId="0">
      <alignment horizontal="center" vertical="center"/>
    </xf>
    <xf numFmtId="0" fontId="15" fillId="4" borderId="2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2" fontId="6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1" fontId="13" fillId="0" borderId="1" applyAlignment="1" pivotButton="0" quotePrefix="0" xfId="0">
      <alignment horizontal="center"/>
    </xf>
    <xf numFmtId="0" fontId="0" fillId="0" borderId="9" applyAlignment="1" pivotButton="0" quotePrefix="0" xfId="0">
      <alignment horizontal="right"/>
    </xf>
    <xf numFmtId="0" fontId="0" fillId="0" borderId="9" pivotButton="0" quotePrefix="0" xfId="0"/>
    <xf numFmtId="0" fontId="2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2" fontId="2" fillId="2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horizontal="center" vertical="center"/>
    </xf>
    <xf numFmtId="0" fontId="0" fillId="2" borderId="16" applyAlignment="1" pivotButton="0" quotePrefix="0" xfId="0">
      <alignment vertical="center"/>
    </xf>
    <xf numFmtId="0" fontId="0" fillId="0" borderId="18" pivotButton="0" quotePrefix="0" xfId="0"/>
    <xf numFmtId="0" fontId="0" fillId="0" borderId="19" pivotButton="0" quotePrefix="0" xfId="0"/>
    <xf numFmtId="0" fontId="10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vertical="center"/>
    </xf>
    <xf numFmtId="2" fontId="6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8" pivotButton="0" quotePrefix="0" xfId="0"/>
    <xf numFmtId="0" fontId="0" fillId="0" borderId="13" pivotButton="0" quotePrefix="0" xfId="0"/>
    <xf numFmtId="0" fontId="2" fillId="0" borderId="10" applyAlignment="1" pivotButton="0" quotePrefix="0" xfId="0">
      <alignment vertical="center"/>
    </xf>
    <xf numFmtId="0" fontId="0" fillId="0" borderId="0" pivotButton="0" quotePrefix="0" xfId="0"/>
    <xf numFmtId="0" fontId="0" fillId="0" borderId="12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2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164" fontId="2" fillId="2" borderId="1" applyAlignment="1" pivotButton="0" quotePrefix="0" xfId="0">
      <alignment horizontal="center" vertical="center"/>
    </xf>
    <xf numFmtId="166" fontId="2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7" fontId="2" fillId="2" borderId="1" applyAlignment="1" pivotButton="0" quotePrefix="0" xfId="0">
      <alignment horizontal="center" vertical="center"/>
    </xf>
    <xf numFmtId="14" fontId="2" fillId="2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2" fillId="0" borderId="6" applyAlignment="1" pivotButton="0" quotePrefix="0" xfId="0">
      <alignment vertical="center"/>
    </xf>
    <xf numFmtId="0" fontId="4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6" pivotButton="0" quotePrefix="0" xfId="0"/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top" wrapText="1"/>
    </xf>
    <xf numFmtId="0" fontId="0" fillId="0" borderId="7" pivotButton="0" quotePrefix="0" xfId="0"/>
    <xf numFmtId="0" fontId="3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0" fillId="0" borderId="14" pivotButton="0" quotePrefix="0" xfId="0"/>
    <xf numFmtId="1" fontId="2" fillId="0" borderId="1" applyAlignment="1" pivotButton="0" quotePrefix="0" xfId="1">
      <alignment horizontal="left" vertical="top" wrapTex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top" wrapText="1"/>
    </xf>
    <xf numFmtId="0" fontId="6" fillId="0" borderId="1" applyAlignment="1" pivotButton="0" quotePrefix="0" xfId="1">
      <alignment horizontal="left" vertical="top" wrapText="1"/>
    </xf>
    <xf numFmtId="0" fontId="2" fillId="0" borderId="1" applyAlignment="1" pivotButton="0" quotePrefix="0" xfId="1">
      <alignment horizontal="left" vertical="top" wrapText="1"/>
    </xf>
    <xf numFmtId="0" fontId="4" fillId="0" borderId="1" applyAlignment="1" pivotButton="0" quotePrefix="0" xfId="1">
      <alignment horizontal="left" vertical="top" wrapText="1"/>
    </xf>
    <xf numFmtId="1" fontId="2" fillId="2" borderId="1" applyAlignment="1" pivotButton="0" quotePrefix="0" xfId="1">
      <alignment horizontal="left" vertical="top" wrapText="1"/>
    </xf>
    <xf numFmtId="9" fontId="2" fillId="0" borderId="1" applyAlignment="1" pivotButton="0" quotePrefix="0" xfId="1">
      <alignment horizontal="left" vertical="top" wrapText="1"/>
    </xf>
    <xf numFmtId="0" fontId="2" fillId="0" borderId="3" applyAlignment="1" pivotButton="0" quotePrefix="0" xfId="0">
      <alignment horizontal="right" vertical="center"/>
    </xf>
    <xf numFmtId="0" fontId="2" fillId="2" borderId="1" applyAlignment="1" pivotButton="0" quotePrefix="0" xfId="1">
      <alignment horizontal="left" vertical="top" wrapText="1"/>
    </xf>
    <xf numFmtId="168" fontId="2" fillId="2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166" fontId="2" fillId="2" borderId="1" applyAlignment="1" pivotButton="0" quotePrefix="0" xfId="0">
      <alignment horizontal="center" vertical="center"/>
    </xf>
    <xf numFmtId="168" fontId="2" fillId="2" borderId="1" applyAlignment="1" pivotButton="0" quotePrefix="0" xfId="0">
      <alignment horizontal="center" vertical="center"/>
    </xf>
    <xf numFmtId="0" fontId="18" fillId="6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center" vertical="center" wrapText="1"/>
    </xf>
  </cellXfs>
  <cellStyles count="2">
    <cellStyle name="Normal" xfId="0" builtinId="0"/>
    <cellStyle name="Normal 3" xfId="1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4"/>
  <sheetViews>
    <sheetView tabSelected="1" view="pageBreakPreview" topLeftCell="A96" zoomScaleNormal="100" zoomScaleSheetLayoutView="100" workbookViewId="0">
      <selection activeCell="J99" sqref="J99:Q99"/>
    </sheetView>
  </sheetViews>
  <sheetFormatPr baseColWidth="8" defaultRowHeight="14.5"/>
  <cols>
    <col width="4.54296875" customWidth="1" style="7" min="1" max="1"/>
    <col width="15.453125" customWidth="1" style="8" min="2" max="2"/>
    <col width="7.1796875" customWidth="1" style="120" min="3" max="3"/>
    <col width="5.7265625" customWidth="1" style="120" min="4" max="4"/>
    <col width="4" customWidth="1" style="120" min="5" max="5"/>
    <col width="6" customWidth="1" style="120" min="6" max="6"/>
    <col width="11.54296875" customWidth="1" style="120" min="7" max="7"/>
    <col width="5.1796875" customWidth="1" style="120" min="8" max="8"/>
    <col width="5.7265625" customWidth="1" style="120" min="9" max="9"/>
    <col width="5.54296875" customWidth="1" style="120" min="10" max="10"/>
    <col width="6" customWidth="1" style="120" min="11" max="11"/>
    <col width="7.453125" customWidth="1" style="120" min="12" max="12"/>
    <col width="12.26953125" customWidth="1" style="120" min="13" max="13"/>
    <col width="4.453125" customWidth="1" style="120" min="14" max="14"/>
    <col width="8.1796875" customWidth="1" style="120" min="15" max="15"/>
    <col width="5.1796875" customWidth="1" style="120" min="16" max="16"/>
    <col width="6" customWidth="1" style="120" min="17" max="17"/>
    <col width="10.54296875" customWidth="1" style="120" min="20" max="20"/>
    <col width="23.26953125" bestFit="1" customWidth="1" style="120" min="24" max="24"/>
  </cols>
  <sheetData>
    <row r="1" ht="15.5" customHeight="1" s="120">
      <c r="M1" s="95" t="inlineStr">
        <is>
          <t>Technical Form No.GSDA/IRR/DW/2025</t>
        </is>
      </c>
      <c r="N1" s="96" t="n"/>
      <c r="O1" s="96" t="n"/>
      <c r="P1" s="96" t="n"/>
      <c r="Q1" s="96" t="n"/>
      <c r="R1" s="85" t="inlineStr">
        <is>
          <t>Select Sr.No. -&gt;</t>
        </is>
      </c>
      <c r="S1" s="86" t="n">
        <v>1</v>
      </c>
    </row>
    <row r="2" ht="25" customFormat="1" customHeight="1" s="52">
      <c r="A2" s="142" t="inlineStr">
        <is>
          <t>Irrigation Dug well Inventory form</t>
        </is>
      </c>
      <c r="B2" s="89" t="n"/>
      <c r="C2" s="89" t="n"/>
      <c r="D2" s="89" t="n"/>
      <c r="E2" s="89" t="n"/>
      <c r="F2" s="89" t="n"/>
      <c r="G2" s="89" t="n"/>
      <c r="H2" s="89" t="n"/>
      <c r="I2" s="89" t="n"/>
      <c r="J2" s="89" t="n"/>
      <c r="K2" s="89" t="n"/>
      <c r="L2" s="89" t="n"/>
      <c r="M2" s="89" t="n"/>
      <c r="N2" s="89" t="n"/>
      <c r="O2" s="89" t="n"/>
      <c r="P2" s="89" t="n"/>
      <c r="Q2" s="90" t="n"/>
    </row>
    <row r="3" ht="18.75" customHeight="1" s="120">
      <c r="A3" s="15" t="n">
        <v>1</v>
      </c>
      <c r="B3" s="102" t="inlineStr">
        <is>
          <t>Name of Geologist</t>
        </is>
      </c>
      <c r="C3" s="132" t="n"/>
      <c r="D3" s="89" t="n"/>
      <c r="E3" s="89" t="n"/>
      <c r="F3" s="89" t="n"/>
      <c r="G3" s="90" t="n"/>
      <c r="H3" s="106" t="n">
        <v>2</v>
      </c>
      <c r="I3" s="136" t="inlineStr">
        <is>
          <t>Designation</t>
        </is>
      </c>
      <c r="J3" s="89" t="n"/>
      <c r="K3" s="90" t="n"/>
      <c r="L3" s="97" t="n"/>
      <c r="M3" s="89" t="n"/>
      <c r="N3" s="89" t="n"/>
      <c r="O3" s="89" t="n"/>
      <c r="P3" s="89" t="n"/>
      <c r="Q3" s="90" t="n"/>
    </row>
    <row r="4" ht="49.5" customHeight="1" s="120">
      <c r="A4" s="15" t="n">
        <v>3</v>
      </c>
      <c r="B4" s="107" t="inlineStr">
        <is>
          <t>Date of Inventory (DD/MM/YY)</t>
        </is>
      </c>
      <c r="C4" s="158" t="n"/>
      <c r="D4" s="89" t="n"/>
      <c r="E4" s="90" t="n"/>
      <c r="F4" s="102" t="n">
        <v>4</v>
      </c>
      <c r="G4" s="107" t="inlineStr">
        <is>
          <t>Time (24 Hrs format)</t>
        </is>
      </c>
      <c r="H4" s="131" t="n"/>
      <c r="I4" s="90" t="n"/>
      <c r="J4" s="102" t="n">
        <v>5</v>
      </c>
      <c r="K4" s="107" t="inlineStr">
        <is>
          <t>Project/Assignment for which Inventory is being done</t>
        </is>
      </c>
      <c r="L4" s="89" t="n"/>
      <c r="M4" s="89" t="n"/>
      <c r="N4" s="89" t="n"/>
      <c r="O4" s="90" t="n"/>
      <c r="P4" s="122" t="n"/>
      <c r="Q4" s="90" t="n"/>
    </row>
    <row r="5" customFormat="1" s="1">
      <c r="A5" s="16" t="inlineStr">
        <is>
          <t>A</t>
        </is>
      </c>
      <c r="B5" s="98" t="inlineStr">
        <is>
          <t>Well Location details</t>
        </is>
      </c>
      <c r="C5" s="89" t="n"/>
      <c r="D5" s="89" t="n"/>
      <c r="E5" s="89" t="n"/>
      <c r="F5" s="89" t="n"/>
      <c r="G5" s="89" t="n"/>
      <c r="H5" s="89" t="n"/>
      <c r="I5" s="89" t="n"/>
      <c r="J5" s="89" t="n"/>
      <c r="K5" s="89" t="n"/>
      <c r="L5" s="89" t="n"/>
      <c r="M5" s="89" t="n"/>
      <c r="N5" s="89" t="n"/>
      <c r="O5" s="89" t="n"/>
      <c r="P5" s="90" t="n"/>
      <c r="Q5" s="98" t="n"/>
    </row>
    <row r="6" ht="51" customHeight="1" s="120">
      <c r="A6" s="15" t="n">
        <v>1</v>
      </c>
      <c r="B6" s="107" t="inlineStr">
        <is>
          <t>Well No. (Sequence No. in the 10K sheet)</t>
        </is>
      </c>
      <c r="C6" s="122" t="n"/>
      <c r="D6" s="89" t="n"/>
      <c r="E6" s="90" t="n"/>
      <c r="F6" s="102" t="n">
        <v>2</v>
      </c>
      <c r="G6" s="107" t="inlineStr">
        <is>
          <t>Type of well (DW/DCB)</t>
        </is>
      </c>
      <c r="H6" s="93" t="n"/>
      <c r="I6" s="89" t="n"/>
      <c r="J6" s="90" t="n"/>
      <c r="K6" s="102" t="n">
        <v>3</v>
      </c>
      <c r="L6" s="107" t="inlineStr">
        <is>
          <t>Altitude (m.MSL)</t>
        </is>
      </c>
      <c r="M6" s="90" t="n"/>
      <c r="N6" s="102" t="inlineStr">
        <is>
          <t xml:space="preserve">GL </t>
        </is>
      </c>
      <c r="O6" s="97" t="n"/>
      <c r="P6" s="102" t="inlineStr">
        <is>
          <t>MP</t>
        </is>
      </c>
      <c r="Q6" s="54">
        <f>O6+P19</f>
        <v/>
      </c>
    </row>
    <row r="7" ht="18" customHeight="1" s="120">
      <c r="A7" s="15" t="n">
        <v>4</v>
      </c>
      <c r="B7" s="102" t="inlineStr">
        <is>
          <t>Owner's Name and Address</t>
        </is>
      </c>
      <c r="C7" s="89" t="n"/>
      <c r="D7" s="89" t="n"/>
      <c r="E7" s="90" t="n"/>
      <c r="F7" s="102" t="n"/>
      <c r="G7" s="102" t="inlineStr">
        <is>
          <t>PWS WELL GP Karjal</t>
        </is>
      </c>
      <c r="H7" s="89" t="n"/>
      <c r="I7" s="89" t="n"/>
      <c r="J7" s="89" t="n"/>
      <c r="K7" s="89" t="n"/>
      <c r="L7" s="89" t="n"/>
      <c r="M7" s="89" t="n"/>
      <c r="N7" s="89" t="n"/>
      <c r="O7" s="89" t="n"/>
      <c r="P7" s="90" t="n"/>
      <c r="Q7" s="102" t="n"/>
    </row>
    <row r="8" ht="18.75" customHeight="1" s="120">
      <c r="A8" s="15" t="n">
        <v>5</v>
      </c>
      <c r="B8" s="102" t="inlineStr">
        <is>
          <t>Village Name</t>
        </is>
      </c>
      <c r="C8" s="97" t="n"/>
      <c r="D8" s="89" t="n"/>
      <c r="E8" s="90" t="n"/>
      <c r="F8" s="102" t="n">
        <v>6</v>
      </c>
      <c r="G8" s="102" t="inlineStr">
        <is>
          <t>G.P. Name</t>
        </is>
      </c>
      <c r="H8" s="102" t="n"/>
      <c r="I8" s="89" t="n"/>
      <c r="J8" s="90" t="n"/>
      <c r="K8" s="102" t="n">
        <v>7</v>
      </c>
      <c r="L8" s="102" t="inlineStr">
        <is>
          <t>Village Census No.</t>
        </is>
      </c>
      <c r="M8" s="89" t="n"/>
      <c r="N8" s="90" t="n"/>
      <c r="O8" s="136" t="n"/>
      <c r="P8" s="89" t="n"/>
      <c r="Q8" s="90" t="n"/>
    </row>
    <row r="9" ht="18" customHeight="1" s="120">
      <c r="A9" s="15" t="n">
        <v>8</v>
      </c>
      <c r="B9" s="102" t="inlineStr">
        <is>
          <t>Taluka Name</t>
        </is>
      </c>
      <c r="C9" s="97" t="n"/>
      <c r="D9" s="89" t="n"/>
      <c r="E9" s="90" t="n"/>
      <c r="F9" s="102" t="n">
        <v>9</v>
      </c>
      <c r="G9" s="102" t="inlineStr">
        <is>
          <t>District Name</t>
        </is>
      </c>
      <c r="H9" s="136" t="n"/>
      <c r="I9" s="89" t="n"/>
      <c r="J9" s="90" t="n"/>
      <c r="K9" s="102" t="n">
        <v>10</v>
      </c>
      <c r="L9" s="102" t="inlineStr">
        <is>
          <t>Mini Watershed No.</t>
        </is>
      </c>
      <c r="M9" s="89" t="n"/>
      <c r="N9" s="90" t="n"/>
      <c r="O9" s="136" t="n"/>
      <c r="P9" s="89" t="n"/>
      <c r="Q9" s="90" t="n"/>
    </row>
    <row r="10" ht="27.75" customHeight="1" s="120">
      <c r="A10" s="15" t="n">
        <v>11</v>
      </c>
      <c r="B10" s="102" t="inlineStr">
        <is>
          <t>SOI Toposheet No.</t>
        </is>
      </c>
      <c r="C10" s="102" t="n"/>
      <c r="D10" s="89" t="n"/>
      <c r="E10" s="90" t="n"/>
      <c r="F10" s="102" t="n">
        <v>12</v>
      </c>
      <c r="G10" s="102" t="inlineStr">
        <is>
          <t>10 K Sheet No.</t>
        </is>
      </c>
      <c r="H10" s="93" t="n"/>
      <c r="I10" s="89" t="n"/>
      <c r="J10" s="90" t="n"/>
      <c r="K10" s="102" t="n">
        <v>13</v>
      </c>
      <c r="L10" s="107" t="inlineStr">
        <is>
          <t>Quadrant No.of  10K Sheet (EX-A1)</t>
        </is>
      </c>
      <c r="M10" s="89" t="n"/>
      <c r="N10" s="90" t="n"/>
      <c r="O10" s="122" t="n"/>
      <c r="P10" s="89" t="n"/>
      <c r="Q10" s="90" t="n"/>
    </row>
    <row r="11" ht="18.75" customHeight="1" s="120">
      <c r="A11" s="15" t="n">
        <v>14</v>
      </c>
      <c r="B11" s="55" t="inlineStr">
        <is>
          <t>Latitude (DD)</t>
        </is>
      </c>
      <c r="C11" s="93" t="n"/>
      <c r="D11" s="89" t="n"/>
      <c r="E11" s="90" t="n"/>
      <c r="F11" s="102" t="n">
        <v>15</v>
      </c>
      <c r="G11" s="56" t="inlineStr">
        <is>
          <t>Longitude (DD)</t>
        </is>
      </c>
      <c r="H11" s="93" t="n"/>
      <c r="I11" s="89" t="n"/>
      <c r="J11" s="90" t="n"/>
      <c r="K11" s="102" t="n"/>
      <c r="L11" s="102" t="n"/>
      <c r="M11" s="89" t="n"/>
      <c r="N11" s="90" t="n"/>
      <c r="O11" s="106" t="n"/>
      <c r="P11" s="89" t="n"/>
      <c r="Q11" s="90" t="n"/>
    </row>
    <row r="12" ht="18.75" customHeight="1" s="120">
      <c r="A12" s="15" t="n"/>
      <c r="B12" s="55" t="inlineStr">
        <is>
          <t>Latitude (DMS)</t>
        </is>
      </c>
      <c r="C12" s="57">
        <f>INT(C11)</f>
        <v/>
      </c>
      <c r="D12" s="115">
        <f>INT((C11-INT(C11))*60)</f>
        <v/>
      </c>
      <c r="E12" s="115">
        <f>((C11-INT(C11))*60-INT((C11-INT(C11))*60))*60</f>
        <v/>
      </c>
      <c r="F12" s="136" t="n"/>
      <c r="G12" s="56" t="inlineStr">
        <is>
          <t>Longitude (DMS)</t>
        </is>
      </c>
      <c r="H12" s="115">
        <f>INT(H11)</f>
        <v/>
      </c>
      <c r="I12" s="115">
        <f>INT((H11-INT(H11))*60)</f>
        <v/>
      </c>
      <c r="J12" s="115">
        <f>((H11-INT(H11))*60-INT((H11-INT(H11))*60))*60</f>
        <v/>
      </c>
      <c r="K12" s="102" t="n">
        <v>16</v>
      </c>
      <c r="L12" s="102" t="inlineStr">
        <is>
          <t>Gat/Survey No.</t>
        </is>
      </c>
      <c r="M12" s="89" t="n"/>
      <c r="N12" s="90" t="n"/>
      <c r="O12" s="93" t="n"/>
      <c r="P12" s="89" t="n"/>
      <c r="Q12" s="90" t="n"/>
    </row>
    <row r="13" ht="21" customHeight="1" s="120">
      <c r="A13" s="15" t="n">
        <v>17</v>
      </c>
      <c r="B13" s="102" t="inlineStr">
        <is>
          <t>Well ID (Census no+Lat+long+type of well</t>
        </is>
      </c>
      <c r="C13" s="89" t="n"/>
      <c r="D13" s="89" t="n"/>
      <c r="E13" s="89" t="n"/>
      <c r="F13" s="90" t="n"/>
      <c r="G13" s="136">
        <f>O8&amp;C11&amp;H11&amp;H6</f>
        <v/>
      </c>
      <c r="H13" s="89" t="n"/>
      <c r="I13" s="89" t="n"/>
      <c r="J13" s="89" t="n"/>
      <c r="K13" s="90" t="n"/>
      <c r="L13" s="102" t="n"/>
      <c r="M13" s="102" t="n"/>
      <c r="N13" s="102" t="n"/>
      <c r="O13" s="102" t="n"/>
      <c r="P13" s="89" t="n"/>
      <c r="Q13" s="90" t="n"/>
    </row>
    <row r="14" ht="26.25" customHeight="1" s="120">
      <c r="A14" s="15" t="n">
        <v>18</v>
      </c>
      <c r="B14" s="115" t="inlineStr">
        <is>
          <t>Whether the well is located in command area of any surface water reservoir (projects) (if yes mention the following details)</t>
        </is>
      </c>
      <c r="C14" s="89" t="n"/>
      <c r="D14" s="89" t="n"/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90" t="n"/>
    </row>
    <row r="15" ht="18.75" customHeight="1" s="120">
      <c r="A15" s="106" t="n"/>
      <c r="B15" s="102" t="inlineStr">
        <is>
          <t>Name of the Reservour (project)</t>
        </is>
      </c>
      <c r="C15" s="89" t="n"/>
      <c r="D15" s="89" t="n"/>
      <c r="E15" s="90" t="n"/>
      <c r="F15" s="97" t="n"/>
      <c r="G15" s="89" t="n"/>
      <c r="H15" s="89" t="n"/>
      <c r="I15" s="90" t="n"/>
      <c r="J15" s="102" t="inlineStr">
        <is>
          <t>Type (major/medium/mionr/PT)</t>
        </is>
      </c>
      <c r="K15" s="89" t="n"/>
      <c r="L15" s="89" t="n"/>
      <c r="M15" s="89" t="n"/>
      <c r="N15" s="90" t="n"/>
      <c r="O15" s="122" t="n"/>
      <c r="P15" s="89" t="n"/>
      <c r="Q15" s="90" t="n"/>
    </row>
    <row r="16" ht="25.5" customHeight="1" s="120">
      <c r="A16" s="137" t="n"/>
      <c r="B16" s="107" t="inlineStr">
        <is>
          <t>Distance and Direction of reservoir from the well</t>
        </is>
      </c>
      <c r="C16" s="89" t="n"/>
      <c r="D16" s="89" t="n"/>
      <c r="E16" s="90" t="n"/>
      <c r="F16" s="97" t="n"/>
      <c r="G16" s="89" t="n"/>
      <c r="H16" s="89" t="n"/>
      <c r="I16" s="90" t="n"/>
      <c r="J16" s="107" t="inlineStr">
        <is>
          <t>Name of the nearest Canal of the project</t>
        </is>
      </c>
      <c r="K16" s="89" t="n"/>
      <c r="L16" s="89" t="n"/>
      <c r="M16" s="89" t="n"/>
      <c r="N16" s="90" t="n"/>
      <c r="O16" s="122" t="n"/>
      <c r="P16" s="89" t="n"/>
      <c r="Q16" s="90" t="n"/>
    </row>
    <row r="17" ht="26.25" customHeight="1" s="120">
      <c r="A17" s="138" t="n"/>
      <c r="B17" s="115" t="inlineStr">
        <is>
          <t>Distance and Direction of the Canal from the well</t>
        </is>
      </c>
      <c r="C17" s="89" t="n"/>
      <c r="D17" s="89" t="n"/>
      <c r="E17" s="90" t="n"/>
      <c r="F17" s="97" t="n"/>
      <c r="G17" s="89" t="n"/>
      <c r="H17" s="89" t="n"/>
      <c r="I17" s="90" t="n"/>
      <c r="J17" s="107" t="inlineStr">
        <is>
          <t>Nature of operartion of Canal (Seasonal/perennial)</t>
        </is>
      </c>
      <c r="K17" s="89" t="n"/>
      <c r="L17" s="89" t="n"/>
      <c r="M17" s="89" t="n"/>
      <c r="N17" s="90" t="n"/>
      <c r="O17" s="122" t="n"/>
      <c r="P17" s="89" t="n"/>
      <c r="Q17" s="90" t="n"/>
    </row>
    <row r="18">
      <c r="A18" s="16" t="inlineStr">
        <is>
          <t>B</t>
        </is>
      </c>
      <c r="B18" s="98" t="inlineStr">
        <is>
          <t>Well Dimensions :</t>
        </is>
      </c>
      <c r="C18" s="89" t="n"/>
      <c r="D18" s="89" t="n"/>
      <c r="E18" s="89" t="n"/>
      <c r="F18" s="89" t="n"/>
      <c r="G18" s="89" t="n"/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90" t="n"/>
    </row>
    <row r="19" ht="22.5" customHeight="1" s="120">
      <c r="A19" s="15" t="n">
        <v>1</v>
      </c>
      <c r="B19" s="102" t="inlineStr">
        <is>
          <t>Measurement point (MP) (e.g. on GL/Parapet due N40</t>
        </is>
      </c>
      <c r="C19" s="89" t="n"/>
      <c r="D19" s="89" t="n"/>
      <c r="E19" s="89" t="n"/>
      <c r="F19" s="89" t="n"/>
      <c r="G19" s="90" t="n"/>
      <c r="H19" s="97" t="n"/>
      <c r="I19" s="89" t="n"/>
      <c r="J19" s="90" t="n"/>
      <c r="K19" s="102" t="n">
        <v>2</v>
      </c>
      <c r="L19" s="106" t="inlineStr">
        <is>
          <t>Height of Parapet (m.bgl)</t>
        </is>
      </c>
      <c r="M19" s="89" t="n"/>
      <c r="N19" s="89" t="n"/>
      <c r="O19" s="90" t="n"/>
      <c r="P19" s="100" t="n"/>
      <c r="Q19" s="90" t="n"/>
    </row>
    <row r="20" ht="22.5" customHeight="1" s="120">
      <c r="A20" s="15" t="n">
        <v>3</v>
      </c>
      <c r="B20" s="102" t="inlineStr">
        <is>
          <t>Inner Diameter of Dug Well (DW) in m.</t>
        </is>
      </c>
      <c r="C20" s="89" t="n"/>
      <c r="D20" s="89" t="n"/>
      <c r="E20" s="89" t="n"/>
      <c r="F20" s="89" t="n"/>
      <c r="G20" s="90" t="n"/>
      <c r="H20" s="102" t="inlineStr">
        <is>
          <t>Top</t>
        </is>
      </c>
      <c r="I20" s="100" t="n"/>
      <c r="J20" s="90" t="n"/>
      <c r="K20" s="102" t="inlineStr">
        <is>
          <t>Bottom</t>
        </is>
      </c>
      <c r="L20" s="90" t="n"/>
      <c r="M20" s="101" t="n"/>
      <c r="N20" s="90" t="n"/>
      <c r="O20" s="106" t="inlineStr">
        <is>
          <t>Effective</t>
        </is>
      </c>
      <c r="P20" s="90" t="n"/>
      <c r="Q20" s="101" t="n"/>
    </row>
    <row r="21" ht="22.5" customHeight="1" s="120">
      <c r="A21" s="15" t="n">
        <v>4</v>
      </c>
      <c r="B21" s="102" t="inlineStr">
        <is>
          <t>Lining/Curbing Material (Brick/RCC/Stone pitching</t>
        </is>
      </c>
      <c r="C21" s="89" t="n"/>
      <c r="D21" s="89" t="n"/>
      <c r="E21" s="89" t="n"/>
      <c r="F21" s="89" t="n"/>
      <c r="G21" s="90" t="n"/>
      <c r="H21" s="122" t="n"/>
      <c r="I21" s="89" t="n"/>
      <c r="J21" s="90" t="n"/>
      <c r="K21" s="102" t="n">
        <v>5</v>
      </c>
      <c r="L21" s="102" t="inlineStr">
        <is>
          <t>Depth of Lining (m.bgl)</t>
        </is>
      </c>
      <c r="M21" s="89" t="n"/>
      <c r="N21" s="89" t="n"/>
      <c r="O21" s="90" t="n"/>
      <c r="P21" s="100" t="n"/>
      <c r="Q21" s="90" t="n"/>
    </row>
    <row r="22" ht="22.5" customHeight="1" s="120">
      <c r="A22" s="15" t="n">
        <v>6</v>
      </c>
      <c r="B22" s="102" t="inlineStr">
        <is>
          <t>Condition of Well and Lining</t>
        </is>
      </c>
      <c r="C22" s="89" t="n"/>
      <c r="D22" s="89" t="n"/>
      <c r="E22" s="89" t="n"/>
      <c r="F22" s="90" t="n"/>
      <c r="G22" s="122" t="n"/>
      <c r="H22" s="89" t="n"/>
      <c r="I22" s="89" t="n"/>
      <c r="J22" s="90" t="n"/>
      <c r="K22" s="102" t="n">
        <v>7</v>
      </c>
      <c r="L22" s="102" t="inlineStr">
        <is>
          <t>Year of Construction</t>
        </is>
      </c>
      <c r="M22" s="89" t="n"/>
      <c r="N22" s="89" t="n"/>
      <c r="O22" s="90" t="n"/>
      <c r="P22" s="124" t="n"/>
      <c r="Q22" s="90" t="n"/>
    </row>
    <row r="23" ht="22.5" customHeight="1" s="120">
      <c r="A23" s="15" t="n">
        <v>8</v>
      </c>
      <c r="B23" s="102" t="inlineStr">
        <is>
          <t>Depth of Dug Well (DW) m.bgl</t>
        </is>
      </c>
      <c r="C23" s="89" t="n"/>
      <c r="D23" s="89" t="n"/>
      <c r="E23" s="90" t="n"/>
      <c r="F23" s="100" t="n"/>
      <c r="G23" s="90" t="n"/>
      <c r="H23" s="102" t="n">
        <v>9</v>
      </c>
      <c r="I23" s="102" t="inlineStr">
        <is>
          <t>Depth of Inwell Borehole from bottom of well (m)</t>
        </is>
      </c>
      <c r="J23" s="89" t="n"/>
      <c r="K23" s="89" t="n"/>
      <c r="L23" s="89" t="n"/>
      <c r="M23" s="89" t="n"/>
      <c r="N23" s="89" t="n"/>
      <c r="O23" s="90" t="n"/>
      <c r="P23" s="106" t="inlineStr">
        <is>
          <t>-</t>
        </is>
      </c>
      <c r="Q23" s="90" t="n"/>
    </row>
    <row r="24" ht="22.5" customHeight="1" s="120">
      <c r="A24" s="15" t="n">
        <v>10</v>
      </c>
      <c r="B24" s="102" t="inlineStr">
        <is>
          <t>Total Depth of Dug Cum Borewell (=Depth of DW+Depth of Inwell Borehole) if Applicable (in m.bgl)</t>
        </is>
      </c>
      <c r="C24" s="89" t="n"/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90" t="n"/>
      <c r="P24" s="106" t="inlineStr">
        <is>
          <t>-</t>
        </is>
      </c>
      <c r="Q24" s="90" t="n"/>
    </row>
    <row r="25" ht="22.5" customFormat="1" customHeight="1" s="1">
      <c r="A25" s="16" t="inlineStr">
        <is>
          <t>C</t>
        </is>
      </c>
      <c r="B25" s="98" t="inlineStr">
        <is>
          <t>Groundwater level and Pumping details</t>
        </is>
      </c>
      <c r="C25" s="89" t="n"/>
      <c r="D25" s="89" t="n"/>
      <c r="E25" s="89" t="n"/>
      <c r="F25" s="89" t="n"/>
      <c r="G25" s="89" t="n"/>
      <c r="H25" s="89" t="n"/>
      <c r="I25" s="89" t="n"/>
      <c r="J25" s="89" t="n"/>
      <c r="K25" s="89" t="n"/>
      <c r="L25" s="89" t="n"/>
      <c r="M25" s="89" t="n"/>
      <c r="N25" s="89" t="n"/>
      <c r="O25" s="89" t="n"/>
      <c r="P25" s="89" t="n"/>
      <c r="Q25" s="90" t="n"/>
    </row>
    <row r="26" ht="26.25" customHeight="1" s="120">
      <c r="A26" s="15" t="n">
        <v>1</v>
      </c>
      <c r="B26" s="107" t="inlineStr">
        <is>
          <t>Pump type (Monoblock/Open well submersible)</t>
        </is>
      </c>
      <c r="C26" s="89" t="n"/>
      <c r="D26" s="89" t="n"/>
      <c r="E26" s="89" t="n"/>
      <c r="F26" s="90" t="n"/>
      <c r="G26" s="97" t="n"/>
      <c r="H26" s="89" t="n"/>
      <c r="I26" s="90" t="n"/>
      <c r="J26" s="102" t="n">
        <v>2</v>
      </c>
      <c r="K26" s="102" t="inlineStr">
        <is>
          <t>Mode of Power (Electric/Solar)</t>
        </is>
      </c>
      <c r="L26" s="89" t="n"/>
      <c r="M26" s="89" t="n"/>
      <c r="N26" s="89" t="n"/>
      <c r="O26" s="90" t="n"/>
      <c r="P26" s="97" t="n"/>
      <c r="Q26" s="90" t="n"/>
    </row>
    <row r="27" ht="21" customHeight="1" s="120">
      <c r="A27" s="15" t="n">
        <v>3</v>
      </c>
      <c r="B27" s="102" t="inlineStr">
        <is>
          <t>HP of pump</t>
        </is>
      </c>
      <c r="C27" s="90" t="n"/>
      <c r="D27" s="128" t="n"/>
      <c r="E27" s="90" t="n"/>
      <c r="F27" s="102" t="n">
        <v>4</v>
      </c>
      <c r="G27" s="59" t="inlineStr">
        <is>
          <t>Pump Setting</t>
        </is>
      </c>
      <c r="H27" s="102" t="inlineStr">
        <is>
          <t>Winter</t>
        </is>
      </c>
      <c r="I27" s="90" t="n"/>
      <c r="J27" s="101">
        <f>F23</f>
        <v/>
      </c>
      <c r="K27" s="90" t="n"/>
      <c r="L27" s="102" t="inlineStr">
        <is>
          <t>m.bgl</t>
        </is>
      </c>
      <c r="M27" s="102" t="inlineStr">
        <is>
          <t>Summer</t>
        </is>
      </c>
      <c r="N27" s="90" t="n"/>
      <c r="O27" s="101">
        <f>F23</f>
        <v/>
      </c>
      <c r="P27" s="90" t="n"/>
      <c r="Q27" s="102" t="inlineStr">
        <is>
          <t>m.bgl</t>
        </is>
      </c>
    </row>
    <row r="28" ht="21" customHeight="1" s="120">
      <c r="A28" s="15" t="n">
        <v>5</v>
      </c>
      <c r="B28" s="102" t="inlineStr">
        <is>
          <t>Depth of pump inlet</t>
        </is>
      </c>
      <c r="C28" s="89" t="n"/>
      <c r="D28" s="89" t="n"/>
      <c r="E28" s="89" t="n"/>
      <c r="F28" s="89" t="n"/>
      <c r="G28" s="90" t="n"/>
      <c r="H28" s="102" t="inlineStr">
        <is>
          <t>Winter</t>
        </is>
      </c>
      <c r="I28" s="90" t="n"/>
      <c r="J28" s="101">
        <f>F23</f>
        <v/>
      </c>
      <c r="K28" s="90" t="n"/>
      <c r="L28" s="102" t="inlineStr">
        <is>
          <t>m.bgl</t>
        </is>
      </c>
      <c r="M28" s="102" t="inlineStr">
        <is>
          <t>Summer</t>
        </is>
      </c>
      <c r="N28" s="90" t="n"/>
      <c r="O28" s="101">
        <f>F23</f>
        <v/>
      </c>
      <c r="P28" s="90" t="n"/>
      <c r="Q28" s="102" t="inlineStr">
        <is>
          <t>m.bgl</t>
        </is>
      </c>
    </row>
    <row r="29" ht="21" customHeight="1" s="120">
      <c r="A29" s="15" t="n">
        <v>6</v>
      </c>
      <c r="B29" s="102" t="inlineStr">
        <is>
          <t>Diameter of Pipe(mm)</t>
        </is>
      </c>
      <c r="C29" s="90" t="n"/>
      <c r="D29" s="102" t="inlineStr">
        <is>
          <t>Suction pipe</t>
        </is>
      </c>
      <c r="E29" s="89" t="n"/>
      <c r="F29" s="90" t="n"/>
      <c r="G29" s="80" t="n">
        <v>50.5</v>
      </c>
      <c r="H29" s="102" t="inlineStr">
        <is>
          <t>Delivery pipe</t>
        </is>
      </c>
      <c r="I29" s="89" t="n"/>
      <c r="J29" s="90" t="n"/>
      <c r="K29" s="101" t="n">
        <v>63.5</v>
      </c>
      <c r="L29" s="90" t="n"/>
      <c r="M29" s="102" t="inlineStr">
        <is>
          <t>Delivery pipe material</t>
        </is>
      </c>
      <c r="N29" s="89" t="n"/>
      <c r="O29" s="90" t="n"/>
      <c r="P29" s="101" t="inlineStr">
        <is>
          <t>HDPE</t>
        </is>
      </c>
      <c r="Q29" s="90" t="n"/>
    </row>
    <row r="30" ht="21" customHeight="1" s="120">
      <c r="A30" s="15" t="n">
        <v>7</v>
      </c>
      <c r="B30" s="107" t="inlineStr">
        <is>
          <t>Pump discharge (m3/hour)</t>
        </is>
      </c>
      <c r="C30" s="89" t="n"/>
      <c r="D30" s="89" t="n"/>
      <c r="E30" s="89" t="n"/>
      <c r="F30" s="90" t="n"/>
      <c r="G30" s="106" t="n"/>
      <c r="H30" s="102" t="inlineStr">
        <is>
          <t>Method Used For Discharge measurement</t>
        </is>
      </c>
      <c r="I30" s="89" t="n"/>
      <c r="J30" s="89" t="n"/>
      <c r="K30" s="89" t="n"/>
      <c r="L30" s="89" t="n"/>
      <c r="M30" s="89" t="n"/>
      <c r="N30" s="90" t="n"/>
      <c r="O30" s="106" t="inlineStr">
        <is>
          <t>Adhoc</t>
        </is>
      </c>
      <c r="P30" s="89" t="n"/>
      <c r="Q30" s="90" t="n"/>
    </row>
    <row r="31" ht="26.25" customHeight="1" s="120">
      <c r="A31" s="15" t="n">
        <v>8</v>
      </c>
      <c r="B31" s="102" t="inlineStr">
        <is>
          <t>Depth to Pumped groundwater level (DWL)</t>
        </is>
      </c>
      <c r="C31" s="89" t="n"/>
      <c r="D31" s="89" t="n"/>
      <c r="E31" s="89" t="n"/>
      <c r="F31" s="90" t="n"/>
      <c r="G31" s="122" t="n"/>
      <c r="H31" s="102" t="inlineStr">
        <is>
          <t>m.bgl</t>
        </is>
      </c>
      <c r="I31" s="102" t="inlineStr">
        <is>
          <t>mention depth to groundwater level at the time of measurment)</t>
        </is>
      </c>
      <c r="J31" s="89" t="n"/>
      <c r="K31" s="89" t="n"/>
      <c r="L31" s="89" t="n"/>
      <c r="M31" s="89" t="n"/>
      <c r="N31" s="89" t="n"/>
      <c r="O31" s="89" t="n"/>
      <c r="P31" s="89" t="n"/>
      <c r="Q31" s="90" t="n"/>
    </row>
    <row r="32" ht="30" customHeight="1" s="120">
      <c r="A32" s="15" t="n">
        <v>9</v>
      </c>
      <c r="B32" s="107" t="inlineStr">
        <is>
          <t>Depth to Static groundwater level (SWL) (Reported R for previous season)</t>
        </is>
      </c>
      <c r="C32" s="89" t="n"/>
      <c r="D32" s="89" t="n"/>
      <c r="E32" s="89" t="n"/>
      <c r="F32" s="90" t="n"/>
      <c r="G32" s="102" t="inlineStr">
        <is>
          <t>Winter</t>
        </is>
      </c>
      <c r="H32" s="40" t="n"/>
      <c r="I32" s="102" t="inlineStr">
        <is>
          <t>m.bgl</t>
        </is>
      </c>
      <c r="J32" s="102" t="inlineStr">
        <is>
          <t>Summer</t>
        </is>
      </c>
      <c r="K32" s="90" t="n"/>
      <c r="L32" s="40" t="n"/>
      <c r="M32" s="102" t="inlineStr">
        <is>
          <t>m.bgl</t>
        </is>
      </c>
      <c r="N32" s="103" t="inlineStr">
        <is>
          <t>Annual Water Level fluctuation (m)</t>
        </is>
      </c>
      <c r="O32" s="89" t="n"/>
      <c r="P32" s="90" t="n"/>
      <c r="Q32" s="101">
        <f>L32-H32</f>
        <v/>
      </c>
    </row>
    <row r="33" ht="45" customHeight="1" s="120">
      <c r="A33" s="15" t="n">
        <v>10</v>
      </c>
      <c r="B33" s="102" t="inlineStr">
        <is>
          <t>Depth to Pumped groundwater level (PWL)</t>
        </is>
      </c>
      <c r="C33" s="89" t="n"/>
      <c r="D33" s="89" t="n"/>
      <c r="E33" s="89" t="n"/>
      <c r="F33" s="90" t="n"/>
      <c r="G33" s="102" t="inlineStr">
        <is>
          <t>Winter</t>
        </is>
      </c>
      <c r="H33" s="101" t="n"/>
      <c r="I33" s="102" t="inlineStr">
        <is>
          <t>m.bgl</t>
        </is>
      </c>
      <c r="J33" s="102" t="inlineStr">
        <is>
          <t>summer</t>
        </is>
      </c>
      <c r="K33" s="90" t="n"/>
      <c r="L33" s="14" t="n"/>
      <c r="M33" s="102" t="inlineStr">
        <is>
          <t>m.bgl</t>
        </is>
      </c>
      <c r="N33" s="107" t="inlineStr">
        <is>
          <t>(DWL just before pumping stopped) mention R if reported (e.g.10 (R))</t>
        </is>
      </c>
      <c r="O33" s="89" t="n"/>
      <c r="P33" s="89" t="n"/>
      <c r="Q33" s="90" t="n"/>
    </row>
    <row r="34" ht="26.25" customHeight="1" s="120">
      <c r="A34" s="15" t="n">
        <v>11</v>
      </c>
      <c r="B34" s="102" t="inlineStr">
        <is>
          <t>Drawdown (D/D) (PWL - SWL)</t>
        </is>
      </c>
      <c r="C34" s="89" t="n"/>
      <c r="D34" s="89" t="n"/>
      <c r="E34" s="89" t="n"/>
      <c r="F34" s="90" t="n"/>
      <c r="G34" s="102" t="inlineStr">
        <is>
          <t>Winter</t>
        </is>
      </c>
      <c r="H34" s="101" t="n"/>
      <c r="I34" s="90" t="n"/>
      <c r="J34" s="102" t="inlineStr">
        <is>
          <t>m.</t>
        </is>
      </c>
      <c r="K34" s="90" t="n"/>
      <c r="L34" s="102" t="inlineStr">
        <is>
          <t>Summer</t>
        </is>
      </c>
      <c r="M34" s="90" t="n"/>
      <c r="N34" s="101" t="n"/>
      <c r="O34" s="90" t="n"/>
      <c r="P34" s="102" t="inlineStr">
        <is>
          <t>m.</t>
        </is>
      </c>
      <c r="Q34" s="90" t="n"/>
    </row>
    <row r="35" ht="26.25" customHeight="1" s="120">
      <c r="A35" s="15" t="n">
        <v>12</v>
      </c>
      <c r="B35" s="102" t="inlineStr">
        <is>
          <t>Duration of Pumping</t>
        </is>
      </c>
      <c r="C35" s="89" t="n"/>
      <c r="D35" s="89" t="n"/>
      <c r="E35" s="89" t="n"/>
      <c r="F35" s="90" t="n"/>
      <c r="G35" s="102" t="inlineStr">
        <is>
          <t>Winter</t>
        </is>
      </c>
      <c r="H35" s="100" t="n"/>
      <c r="I35" s="90" t="n"/>
      <c r="J35" s="102" t="inlineStr">
        <is>
          <t>Hrs</t>
        </is>
      </c>
      <c r="K35" s="90" t="n"/>
      <c r="L35" s="102" t="inlineStr">
        <is>
          <t>Summer</t>
        </is>
      </c>
      <c r="M35" s="90" t="n"/>
      <c r="N35" s="100" t="n"/>
      <c r="O35" s="90" t="n"/>
      <c r="P35" s="102" t="inlineStr">
        <is>
          <t>Hrs</t>
        </is>
      </c>
      <c r="Q35" s="90" t="n"/>
    </row>
    <row r="36" ht="26.25" customHeight="1" s="120">
      <c r="A36" s="15" t="n">
        <v>13</v>
      </c>
      <c r="B36" s="102" t="inlineStr">
        <is>
          <t>Quantity of water pumped</t>
        </is>
      </c>
      <c r="C36" s="89" t="n"/>
      <c r="D36" s="89" t="n"/>
      <c r="E36" s="89" t="n"/>
      <c r="F36" s="90" t="n"/>
      <c r="G36" s="102" t="inlineStr">
        <is>
          <t>Winter</t>
        </is>
      </c>
      <c r="H36" s="101" t="n"/>
      <c r="I36" s="90" t="n"/>
      <c r="J36" s="102" t="inlineStr">
        <is>
          <t>M3</t>
        </is>
      </c>
      <c r="K36" s="90" t="n"/>
      <c r="L36" s="102" t="inlineStr">
        <is>
          <t>Summer</t>
        </is>
      </c>
      <c r="M36" s="90" t="n"/>
      <c r="N36" s="101" t="n"/>
      <c r="O36" s="90" t="n"/>
      <c r="P36" s="102" t="inlineStr">
        <is>
          <t>m3</t>
        </is>
      </c>
      <c r="Q36" s="90" t="n"/>
    </row>
    <row r="37" ht="26.25" customHeight="1" s="120">
      <c r="A37" s="15" t="n">
        <v>14</v>
      </c>
      <c r="B37" s="102" t="inlineStr">
        <is>
          <t>Volume of water Pumped from Storage</t>
        </is>
      </c>
      <c r="C37" s="89" t="n"/>
      <c r="D37" s="89" t="n"/>
      <c r="E37" s="89" t="n"/>
      <c r="F37" s="90" t="n"/>
      <c r="G37" s="102" t="inlineStr">
        <is>
          <t>Winter</t>
        </is>
      </c>
      <c r="H37" s="101" t="n"/>
      <c r="I37" s="90" t="n"/>
      <c r="J37" s="102" t="inlineStr">
        <is>
          <t>M3</t>
        </is>
      </c>
      <c r="K37" s="90" t="n"/>
      <c r="L37" s="102" t="inlineStr">
        <is>
          <t>Summer</t>
        </is>
      </c>
      <c r="M37" s="90" t="n"/>
      <c r="N37" s="101" t="n"/>
      <c r="O37" s="90" t="n"/>
      <c r="P37" s="102" t="inlineStr">
        <is>
          <t>m3</t>
        </is>
      </c>
      <c r="Q37" s="90" t="n"/>
    </row>
    <row r="38" ht="26.25" customHeight="1" s="120">
      <c r="A38" s="15" t="n">
        <v>15</v>
      </c>
      <c r="B38" s="102" t="inlineStr">
        <is>
          <t>Avg. Rate of Inflow during pumping</t>
        </is>
      </c>
      <c r="C38" s="89" t="n"/>
      <c r="D38" s="89" t="n"/>
      <c r="E38" s="89" t="n"/>
      <c r="F38" s="90" t="n"/>
      <c r="G38" s="102" t="inlineStr">
        <is>
          <t>Winter</t>
        </is>
      </c>
      <c r="H38" s="101" t="n"/>
      <c r="I38" s="90" t="n"/>
      <c r="J38" s="102" t="inlineStr">
        <is>
          <t>M3/Hr</t>
        </is>
      </c>
      <c r="K38" s="90" t="n"/>
      <c r="L38" s="102" t="inlineStr">
        <is>
          <t>Summer</t>
        </is>
      </c>
      <c r="M38" s="90" t="n"/>
      <c r="N38" s="101" t="n"/>
      <c r="O38" s="90" t="n"/>
      <c r="P38" s="102" t="inlineStr">
        <is>
          <t>M3/Hr</t>
        </is>
      </c>
      <c r="Q38" s="90" t="n"/>
    </row>
    <row r="39" ht="26.25" customHeight="1" s="120">
      <c r="A39" s="15" t="n">
        <v>16</v>
      </c>
      <c r="B39" s="102" t="inlineStr">
        <is>
          <t>Time required for complete recuperation</t>
        </is>
      </c>
      <c r="C39" s="89" t="n"/>
      <c r="D39" s="89" t="n"/>
      <c r="E39" s="89" t="n"/>
      <c r="F39" s="90" t="n"/>
      <c r="G39" s="102" t="inlineStr">
        <is>
          <t>Winter</t>
        </is>
      </c>
      <c r="H39" s="124" t="n"/>
      <c r="I39" s="90" t="n"/>
      <c r="J39" s="102" t="inlineStr">
        <is>
          <t>Hrs</t>
        </is>
      </c>
      <c r="K39" s="90" t="n"/>
      <c r="L39" s="102" t="inlineStr">
        <is>
          <t>Summer</t>
        </is>
      </c>
      <c r="M39" s="90" t="n"/>
      <c r="N39" s="124" t="n"/>
      <c r="O39" s="90" t="n"/>
      <c r="P39" s="102" t="inlineStr">
        <is>
          <t>Hrs</t>
        </is>
      </c>
      <c r="Q39" s="90" t="n"/>
    </row>
    <row r="40" customFormat="1" s="1">
      <c r="A40" s="16" t="inlineStr">
        <is>
          <t>D</t>
        </is>
      </c>
      <c r="B40" s="98" t="inlineStr">
        <is>
          <t>Well Performance</t>
        </is>
      </c>
      <c r="C40" s="89" t="n"/>
      <c r="D40" s="89" t="n"/>
      <c r="E40" s="89" t="n"/>
      <c r="F40" s="89" t="n"/>
      <c r="G40" s="89" t="n"/>
      <c r="H40" s="89" t="n"/>
      <c r="I40" s="89" t="n"/>
      <c r="J40" s="89" t="n"/>
      <c r="K40" s="89" t="n"/>
      <c r="L40" s="89" t="n"/>
      <c r="M40" s="89" t="n"/>
      <c r="N40" s="89" t="n"/>
      <c r="O40" s="89" t="n"/>
      <c r="P40" s="89" t="n"/>
      <c r="Q40" s="90" t="n"/>
    </row>
    <row r="41" ht="33" customFormat="1" customHeight="1" s="2">
      <c r="A41" s="99" t="n"/>
      <c r="B41" s="99" t="inlineStr">
        <is>
          <t>Seasons</t>
        </is>
      </c>
      <c r="C41" s="89" t="n"/>
      <c r="D41" s="89" t="n"/>
      <c r="E41" s="89" t="n"/>
      <c r="F41" s="90" t="n"/>
      <c r="G41" s="126" t="inlineStr">
        <is>
          <t>Pump Discharge</t>
        </is>
      </c>
      <c r="H41" s="126" t="inlineStr">
        <is>
          <t>Pumping Hrs/Day</t>
        </is>
      </c>
      <c r="I41" s="90" t="n"/>
      <c r="J41" s="126" t="inlineStr">
        <is>
          <t>Operating Days</t>
        </is>
      </c>
      <c r="K41" s="90" t="n"/>
      <c r="L41" s="126" t="inlineStr">
        <is>
          <t>GW applied (M3)</t>
        </is>
      </c>
      <c r="M41" s="90" t="n"/>
      <c r="N41" s="126" t="inlineStr">
        <is>
          <t>GW applied (Ham)</t>
        </is>
      </c>
      <c r="O41" s="90" t="n"/>
      <c r="P41" s="102" t="n"/>
      <c r="Q41" s="116" t="n"/>
    </row>
    <row r="42">
      <c r="A42" s="106" t="n">
        <v>1</v>
      </c>
      <c r="B42" s="89" t="n"/>
      <c r="C42" s="89" t="n"/>
      <c r="D42" s="89" t="n"/>
      <c r="E42" s="89" t="n"/>
      <c r="F42" s="90" t="n"/>
      <c r="G42" s="106" t="n">
        <v>2</v>
      </c>
      <c r="H42" s="106" t="n">
        <v>3</v>
      </c>
      <c r="I42" s="90" t="n"/>
      <c r="J42" s="106" t="n">
        <v>4</v>
      </c>
      <c r="K42" s="90" t="n"/>
      <c r="L42" s="106" t="n">
        <v>5</v>
      </c>
      <c r="M42" s="90" t="n"/>
      <c r="N42" s="106" t="n">
        <v>6</v>
      </c>
      <c r="O42" s="90" t="n"/>
      <c r="P42" s="141" t="n"/>
      <c r="Q42" s="121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</row>
    <row r="43" ht="22.5" customHeight="1" s="120">
      <c r="A43" s="15" t="n">
        <v>1</v>
      </c>
      <c r="B43" s="102" t="inlineStr">
        <is>
          <t>Khariff season (Mid June - Sept)</t>
        </is>
      </c>
      <c r="C43" s="89" t="n"/>
      <c r="D43" s="89" t="n"/>
      <c r="E43" s="89" t="n"/>
      <c r="F43" s="90" t="n"/>
      <c r="G43" s="106">
        <f>IFERROR(VLOOKUP($S$1, 'All Collected Data'!$A$2:$CR$500, 42, FALSE), "")</f>
        <v/>
      </c>
      <c r="H43" s="106">
        <f>IFERROR(VLOOKUP($S$1, 'All Collected Data'!$A$2:$CR$500, 44, FALSE), "")</f>
        <v/>
      </c>
      <c r="I43" s="90" t="n"/>
      <c r="J43" s="130">
        <f>IFERROR(VLOOKUP($S$1, 'All Collected Data'!$A$2:$CR$500, 75, FALSE), "")</f>
        <v/>
      </c>
      <c r="K43" s="90" t="n"/>
      <c r="L43" s="101">
        <f>ROUND(G43*H43*J43, 2)</f>
        <v/>
      </c>
      <c r="M43" s="90" t="n"/>
      <c r="N43" s="108">
        <f>ROUND(L43/10000, 4)</f>
        <v/>
      </c>
      <c r="O43" s="90" t="n"/>
      <c r="P43" s="141" t="n"/>
      <c r="Q43" s="121" t="n"/>
    </row>
    <row r="44" ht="22.5" customHeight="1" s="120">
      <c r="A44" s="15" t="n">
        <v>2</v>
      </c>
      <c r="B44" s="102" t="inlineStr">
        <is>
          <t>Rabbi (October-Dec)</t>
        </is>
      </c>
      <c r="C44" s="89" t="n"/>
      <c r="D44" s="89" t="n"/>
      <c r="E44" s="89" t="n"/>
      <c r="F44" s="90" t="n"/>
      <c r="G44" s="106">
        <f>IFERROR(VLOOKUP($S$1, 'All Collected Data'!$A$2:$CR$500, 42, FALSE), "")</f>
        <v/>
      </c>
      <c r="H44" s="130">
        <f>IFERROR(VLOOKUP($S$1, calc!$A$2:$CR$500, 35, FALSE), "")</f>
        <v/>
      </c>
      <c r="I44" s="90" t="n"/>
      <c r="J44" s="130">
        <f>ROUND(IFERROR(VLOOKUP($S$1, 'All Collected Data'!$A$2:$CR$500, 76, FALSE)/2, 0), 0)</f>
        <v/>
      </c>
      <c r="K44" s="90" t="n"/>
      <c r="L44" s="101">
        <f>ROUND(G44*H44*J44, 2)</f>
        <v/>
      </c>
      <c r="M44" s="90" t="n"/>
      <c r="N44" s="108">
        <f>ROUND(L44/10000, 4)</f>
        <v/>
      </c>
      <c r="O44" s="90" t="n"/>
      <c r="P44" s="141" t="n"/>
      <c r="Q44" s="121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</row>
    <row r="45" ht="22.5" customHeight="1" s="120">
      <c r="A45" s="15" t="n">
        <v>3</v>
      </c>
      <c r="B45" s="102" t="inlineStr">
        <is>
          <t>Rabbi (Jan-March)</t>
        </is>
      </c>
      <c r="C45" s="89" t="n"/>
      <c r="D45" s="89" t="n"/>
      <c r="E45" s="89" t="n"/>
      <c r="F45" s="90" t="n"/>
      <c r="G45" s="106">
        <f>IFERROR(VLOOKUP($S$1, 'All Collected Data'!$A$2:$CR$500, 42, FALSE), "")</f>
        <v/>
      </c>
      <c r="H45" s="130">
        <f>IFERROR(VLOOKUP($S$1, calc!$A$2:$CR$500, 35, FALSE), "")</f>
        <v/>
      </c>
      <c r="I45" s="90" t="n"/>
      <c r="J45" s="130">
        <f>ROUND(IFERROR(VLOOKUP($S$1, 'All Collected Data'!$A$2:$CR$500, 76, FALSE)/2, 0), 0)</f>
        <v/>
      </c>
      <c r="K45" s="90" t="n"/>
      <c r="L45" s="101">
        <f>ROUND(G45*H45*J45, 2)</f>
        <v/>
      </c>
      <c r="M45" s="90" t="n"/>
      <c r="N45" s="108">
        <f>ROUND(L45/10000, 4)</f>
        <v/>
      </c>
      <c r="O45" s="90" t="n"/>
      <c r="P45" s="141" t="n"/>
      <c r="Q45" s="121" t="n"/>
    </row>
    <row r="46" ht="22.5" customHeight="1" s="120">
      <c r="A46" s="15" t="n">
        <v>4</v>
      </c>
      <c r="B46" s="102" t="inlineStr">
        <is>
          <t>Summer (April-Mid June)</t>
        </is>
      </c>
      <c r="C46" s="89" t="n"/>
      <c r="D46" s="89" t="n"/>
      <c r="E46" s="89" t="n"/>
      <c r="F46" s="90" t="n"/>
      <c r="G46" s="106">
        <f>IFERROR(VLOOKUP($S$1, 'All Collected Data'!$A$2:$CR$500, 42, FALSE), "")</f>
        <v/>
      </c>
      <c r="H46" s="143">
        <f>IFERROR(VLOOKUP($S$1, calc!$A$2:$CR$500, 36, FALSE), "")</f>
        <v/>
      </c>
      <c r="I46" s="90" t="n"/>
      <c r="J46" s="130">
        <f>IFERROR(VLOOKUP($S$1, 'All Collected Data'!$A$2:$CR$500, 77, FALSE), "")</f>
        <v/>
      </c>
      <c r="K46" s="90" t="n"/>
      <c r="L46" s="101">
        <f>ROUND(G46*H46*J46, 2)</f>
        <v/>
      </c>
      <c r="M46" s="90" t="n"/>
      <c r="N46" s="108">
        <f>ROUND(L46/10000, 4)</f>
        <v/>
      </c>
      <c r="O46" s="90" t="n"/>
      <c r="P46" s="141" t="n"/>
      <c r="Q46" s="121" t="n"/>
    </row>
    <row r="47" ht="22.5" customHeight="1" s="120">
      <c r="A47" s="15" t="n"/>
      <c r="B47" s="102" t="n"/>
      <c r="C47" s="89" t="n"/>
      <c r="D47" s="89" t="n"/>
      <c r="E47" s="89" t="n"/>
      <c r="F47" s="90" t="n"/>
      <c r="G47" s="106" t="n"/>
      <c r="H47" s="106" t="n"/>
      <c r="I47" s="90" t="n"/>
      <c r="J47" s="130">
        <f>SUM(J43:J46)</f>
        <v/>
      </c>
      <c r="K47" s="90" t="n"/>
      <c r="L47" s="101">
        <f>SUM(L43:L46)</f>
        <v/>
      </c>
      <c r="M47" s="90" t="n"/>
      <c r="N47" s="108">
        <f>ROUND(L47/10000, 4)</f>
        <v/>
      </c>
      <c r="O47" s="90" t="n"/>
      <c r="P47" s="117" t="n"/>
      <c r="Q47" s="118" t="n"/>
    </row>
    <row r="48" customFormat="1" s="1">
      <c r="A48" s="16" t="inlineStr">
        <is>
          <t>E</t>
        </is>
      </c>
      <c r="B48" s="98" t="inlineStr">
        <is>
          <t>Cropping, Irrigation and water Application</t>
        </is>
      </c>
      <c r="C48" s="89" t="n"/>
      <c r="D48" s="89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89" t="n"/>
      <c r="N48" s="89" t="n"/>
      <c r="O48" s="89" t="n"/>
      <c r="P48" s="89" t="n"/>
      <c r="Q48" s="90" t="n"/>
    </row>
    <row r="49">
      <c r="A49" s="15" t="n">
        <v>1</v>
      </c>
      <c r="B49" s="106" t="inlineStr">
        <is>
          <t>Total land holding at well site (in Ha)</t>
        </is>
      </c>
      <c r="C49" s="89" t="n"/>
      <c r="D49" s="89" t="n"/>
      <c r="E49" s="89" t="n"/>
      <c r="F49" s="90" t="n"/>
      <c r="G49" s="100" t="n"/>
      <c r="H49" s="90" t="n"/>
      <c r="I49" s="102" t="inlineStr">
        <is>
          <t>Ha</t>
        </is>
      </c>
      <c r="J49" s="106" t="n"/>
      <c r="K49" s="89" t="n"/>
      <c r="L49" s="89" t="n"/>
      <c r="M49" s="89" t="n"/>
      <c r="N49" s="89" t="n"/>
      <c r="O49" s="89" t="n"/>
      <c r="P49" s="89" t="n"/>
      <c r="Q49" s="90" t="n"/>
    </row>
    <row r="50" ht="12.75" customFormat="1" customHeight="1" s="60">
      <c r="A50" s="106" t="n">
        <v>2</v>
      </c>
      <c r="B50" s="140" t="inlineStr">
        <is>
          <t>Season Wise Crops</t>
        </is>
      </c>
      <c r="C50" s="103" t="inlineStr">
        <is>
          <t>Cultivated Area (Ha)</t>
        </is>
      </c>
      <c r="D50" s="103" t="inlineStr">
        <is>
          <t>GW Irrigated Area (Ha)</t>
        </is>
      </c>
      <c r="E50" s="89" t="n"/>
      <c r="F50" s="89" t="n"/>
      <c r="G50" s="90" t="n"/>
      <c r="H50" s="103" t="inlineStr">
        <is>
          <t>No. of Waterings Applied</t>
        </is>
      </c>
      <c r="I50" s="116" t="n"/>
      <c r="J50" s="103" t="inlineStr">
        <is>
          <t>Depth of Waterings Applied (m.)</t>
        </is>
      </c>
      <c r="K50" s="116" t="n"/>
      <c r="L50" s="88" t="inlineStr">
        <is>
          <t>GW Apllied (Ham)</t>
        </is>
      </c>
      <c r="M50" s="89" t="n"/>
      <c r="N50" s="89" t="n"/>
      <c r="O50" s="90" t="n"/>
      <c r="P50" s="103" t="inlineStr">
        <is>
          <t>Days Required for One Watering</t>
        </is>
      </c>
      <c r="Q50" s="116" t="n"/>
    </row>
    <row r="51" ht="40.5" customFormat="1" customHeight="1" s="62">
      <c r="A51" s="138" t="n"/>
      <c r="B51" s="138" t="n"/>
      <c r="C51" s="138" t="n"/>
      <c r="D51" s="106" t="inlineStr">
        <is>
          <t>Flood</t>
        </is>
      </c>
      <c r="E51" s="133" t="inlineStr">
        <is>
          <t>Sprinkler</t>
        </is>
      </c>
      <c r="F51" s="90" t="n"/>
      <c r="G51" s="106" t="inlineStr">
        <is>
          <t>Drip</t>
        </is>
      </c>
      <c r="H51" s="117" t="n"/>
      <c r="I51" s="118" t="n"/>
      <c r="J51" s="117" t="n"/>
      <c r="K51" s="118" t="n"/>
      <c r="L51" s="106" t="inlineStr">
        <is>
          <t>Flood</t>
        </is>
      </c>
      <c r="M51" s="133" t="inlineStr">
        <is>
          <t>Sprinkler</t>
        </is>
      </c>
      <c r="N51" s="106" t="inlineStr">
        <is>
          <t>Drip</t>
        </is>
      </c>
      <c r="O51" s="106" t="inlineStr">
        <is>
          <t>Total</t>
        </is>
      </c>
      <c r="P51" s="117" t="n"/>
      <c r="Q51" s="118" t="n"/>
    </row>
    <row r="52" customFormat="1" s="63">
      <c r="A52" s="106" t="n">
        <v>1</v>
      </c>
      <c r="B52" s="90" t="n"/>
      <c r="C52" s="106" t="n">
        <v>2</v>
      </c>
      <c r="D52" s="106" t="n">
        <v>3</v>
      </c>
      <c r="E52" s="106" t="n">
        <v>4</v>
      </c>
      <c r="F52" s="90" t="n"/>
      <c r="G52" s="106" t="n"/>
      <c r="H52" s="106" t="n">
        <v>6</v>
      </c>
      <c r="I52" s="90" t="n"/>
      <c r="J52" s="106" t="n">
        <v>7</v>
      </c>
      <c r="K52" s="90" t="n"/>
      <c r="L52" s="106" t="n">
        <v>8</v>
      </c>
      <c r="M52" s="106" t="n">
        <v>9</v>
      </c>
      <c r="N52" s="106" t="n">
        <v>10</v>
      </c>
      <c r="O52" s="106" t="n">
        <v>11</v>
      </c>
      <c r="P52" s="106" t="n">
        <v>12</v>
      </c>
      <c r="Q52" s="90" t="n"/>
    </row>
    <row r="53">
      <c r="A53" s="15" t="inlineStr">
        <is>
          <t>2a</t>
        </is>
      </c>
      <c r="B53" s="113" t="inlineStr">
        <is>
          <t>Khariff Season (Mid June-Sept) (Khariff and Perennial Crops)</t>
        </is>
      </c>
      <c r="C53" s="89" t="n"/>
      <c r="D53" s="89" t="n"/>
      <c r="E53" s="89" t="n"/>
      <c r="F53" s="89" t="n"/>
      <c r="G53" s="90" t="n"/>
      <c r="H53" s="113" t="n"/>
      <c r="I53" s="89" t="n"/>
      <c r="J53" s="89" t="n"/>
      <c r="K53" s="89" t="n"/>
      <c r="L53" s="89" t="n"/>
      <c r="M53" s="89" t="n"/>
      <c r="N53" s="89" t="n"/>
      <c r="O53" s="89" t="n"/>
      <c r="P53" s="89" t="n"/>
      <c r="Q53" s="90" t="n"/>
    </row>
    <row r="54">
      <c r="A54" s="15" t="inlineStr">
        <is>
          <t>P</t>
        </is>
      </c>
      <c r="B54" s="65">
        <f>IFERROR(VLOOKUP($S$1, calc!$A$2:$EJ$500, 68, FALSE), "")</f>
        <v/>
      </c>
      <c r="C54" s="66">
        <f>IF(SUM(D54,E54,G54)=0,"",SUM(D54,E54,G54))</f>
        <v/>
      </c>
      <c r="D54" s="91">
        <f>IFERROR(VLOOKUP($S$1, calc!$A$2:$EJ$500, 70, FALSE), "")</f>
        <v/>
      </c>
      <c r="E54" s="91">
        <f>IFERROR(VLOOKUP($S$1, calc!$A$2:$EJ$500, 72, FALSE), "")</f>
        <v/>
      </c>
      <c r="F54" s="90" t="n"/>
      <c r="G54" s="91">
        <f>IFERROR(VLOOKUP($S$1, calc!$A$2:$EJ$500, 74, FALSE), "")</f>
        <v/>
      </c>
      <c r="H54" s="104">
        <f>IFERROR(VLOOKUP($S$1, calc!$A$2:$EJ$500, 97, FALSE), "")</f>
        <v/>
      </c>
      <c r="I54" s="90" t="n"/>
      <c r="J54" s="105">
        <f>IFERROR(VLOOKUP($S$1, calc!$A$2:$EJ$500, 98, FALSE), "")</f>
        <v/>
      </c>
      <c r="K54" s="90" t="n"/>
      <c r="L54" s="68">
        <f>IF(OR(D54="",H54="",J54=""), "", ROUND(D54*J54*H54, 4))</f>
        <v/>
      </c>
      <c r="M54" s="113">
        <f>IF(OR(E54="",H54="",J54=""), "", ROUND(E54*J54*H54*0.75, 4))</f>
        <v/>
      </c>
      <c r="N54" s="113">
        <f>IF(OR(G54="",H54="",J54=""), "", ROUND(G54*J54*H54*0.65, 4))</f>
        <v/>
      </c>
      <c r="O54" s="69">
        <f>IFERROR(SUM(L54:N54), "")</f>
        <v/>
      </c>
      <c r="P54" s="104" t="n"/>
      <c r="Q54" s="90" t="n"/>
    </row>
    <row r="55">
      <c r="A55" s="15" t="inlineStr">
        <is>
          <t>P</t>
        </is>
      </c>
      <c r="B55" s="65">
        <f>IFERROR(VLOOKUP($S$1, calc!$A$2:$EJ$500, 69, FALSE), "")</f>
        <v/>
      </c>
      <c r="C55" s="66">
        <f>IF(SUM(D55,E55,G55)=0,"",SUM(D55,E55,G55))</f>
        <v/>
      </c>
      <c r="D55" s="91">
        <f>IFERROR(VLOOKUP($S$1, calc!$A$2:$EJ$500, 71, FALSE), "")</f>
        <v/>
      </c>
      <c r="E55" s="91">
        <f>IFERROR(VLOOKUP($S$1, calc!$A$2:$EJ$500, 73, FALSE), "")</f>
        <v/>
      </c>
      <c r="F55" s="90" t="n"/>
      <c r="G55" s="91">
        <f>IFERROR(VLOOKUP($S$1, calc!$A$2:$EJ$500, 75, FALSE), "")</f>
        <v/>
      </c>
      <c r="H55" s="104">
        <f>IFERROR(VLOOKUP($S$1, calc!$A$2:$EJ$500, 99, FALSE), "")</f>
        <v/>
      </c>
      <c r="I55" s="90" t="n"/>
      <c r="J55" s="105">
        <f>IFERROR(VLOOKUP($S$1, calc!$A$2:$EJ$500, 100, FALSE), "")</f>
        <v/>
      </c>
      <c r="K55" s="90" t="n"/>
      <c r="L55" s="68">
        <f>IF(OR(D55="",H55="",J55=""), "", ROUND(D55*J55*H55, 4))</f>
        <v/>
      </c>
      <c r="M55" s="113">
        <f>IF(OR(E55="",H55="",J55=""), "", ROUND(E55*J55*H55*0.75, 4))</f>
        <v/>
      </c>
      <c r="N55" s="113">
        <f>IF(OR(G55="",H55="",J55=""), "", ROUND(G55*J55*H55*0.65, 4))</f>
        <v/>
      </c>
      <c r="O55" s="69">
        <f>IFERROR(SUM(L55:N55), "")</f>
        <v/>
      </c>
      <c r="P55" s="104" t="n"/>
      <c r="Q55" s="90" t="n"/>
    </row>
    <row r="56">
      <c r="A56" s="15" t="n">
        <v>1</v>
      </c>
      <c r="B56" s="65">
        <f>IFERROR(VLOOKUP($S$1, calc!$A$2:$EJ$500, 44, FALSE), "")</f>
        <v/>
      </c>
      <c r="C56" s="66">
        <f>IF(SUM(D56,E56,G56)=0,"",SUM(D56,E56,G56))</f>
        <v/>
      </c>
      <c r="D56" s="91">
        <f>IFERROR(VLOOKUP($S$1, calc!$A$2:$EJ$500, 47, FALSE), "")</f>
        <v/>
      </c>
      <c r="E56" s="91">
        <f>IFERROR(VLOOKUP($S$1, calc!$A$2:$EJ$500, 50, FALSE), "")</f>
        <v/>
      </c>
      <c r="F56" s="90" t="n"/>
      <c r="G56" s="91">
        <f>IFERROR(VLOOKUP($S$1, calc!$A$2:$EJ$500, 53, FALSE), "")</f>
        <v/>
      </c>
      <c r="H56" s="104">
        <f>IFERROR(VLOOKUP($S$1, calc!$A$2:$EJ$500, 101, FALSE), "")</f>
        <v/>
      </c>
      <c r="I56" s="90" t="n"/>
      <c r="J56" s="105">
        <f>IFERROR(VLOOKUP($S$1, calc!$A$2:$EJ$500, 102, FALSE), "")</f>
        <v/>
      </c>
      <c r="K56" s="90" t="n"/>
      <c r="L56" s="68">
        <f>IF(OR(D56="",H56="",J56=""), "", ROUND(D56*J56*H56, 4))</f>
        <v/>
      </c>
      <c r="M56" s="113">
        <f>IF(OR(E56="",H56="",J56=""), "", ROUND(E56*J56*H56*0.75, 4))</f>
        <v/>
      </c>
      <c r="N56" s="113">
        <f>IF(OR(G56="",H56="",J56=""), "", ROUND(G56*J56*H56*0.65, 4))</f>
        <v/>
      </c>
      <c r="O56" s="69">
        <f>IFERROR(SUM(L56:N56), "")</f>
        <v/>
      </c>
      <c r="P56" s="104" t="n"/>
      <c r="Q56" s="90" t="n"/>
    </row>
    <row r="57">
      <c r="A57" s="15" t="n">
        <v>2</v>
      </c>
      <c r="B57" s="65">
        <f>IFERROR(VLOOKUP($S$1, calc!$A$2:$EJ$500, 45, FALSE), "")</f>
        <v/>
      </c>
      <c r="C57" s="66">
        <f>IF(SUM(D57,E57,G57)=0,"",SUM(D57,E57,G57))</f>
        <v/>
      </c>
      <c r="D57" s="91">
        <f>IFERROR(VLOOKUP($S$1, calc!$A$2:$EJ$500, 48, FALSE), "")</f>
        <v/>
      </c>
      <c r="E57" s="91">
        <f>IFERROR(VLOOKUP($S$1, calc!$A$2:$EJ$500, 51, FALSE), "")</f>
        <v/>
      </c>
      <c r="F57" s="90" t="n"/>
      <c r="G57" s="91">
        <f>IFERROR(VLOOKUP($S$1, calc!$A$2:$EJ$500, 54, FALSE), "")</f>
        <v/>
      </c>
      <c r="H57" s="104">
        <f>IFERROR(VLOOKUP($S$1, calc!$A$2:$EJ$500, 103, FALSE), "")</f>
        <v/>
      </c>
      <c r="I57" s="90" t="n"/>
      <c r="J57" s="105">
        <f>IFERROR(VLOOKUP($S$1, calc!$A$2:$EJ$500, 104, FALSE), "")</f>
        <v/>
      </c>
      <c r="K57" s="90" t="n"/>
      <c r="L57" s="68">
        <f>IF(OR(D57="",H57="",J57=""), "", ROUND(D57*J57*H57, 4))</f>
        <v/>
      </c>
      <c r="M57" s="113">
        <f>IF(OR(E57="",H57="",J57=""), "", ROUND(E57*J57*H57*0.75, 4))</f>
        <v/>
      </c>
      <c r="N57" s="113">
        <f>IF(OR(G57="",H57="",J57=""), "", ROUND(G57*J57*H57*0.65, 4))</f>
        <v/>
      </c>
      <c r="O57" s="69">
        <f>IFERROR(SUM(L57:N57), "")</f>
        <v/>
      </c>
      <c r="P57" s="104" t="n"/>
      <c r="Q57" s="90" t="n"/>
    </row>
    <row r="58">
      <c r="A58" s="15" t="n">
        <v>3</v>
      </c>
      <c r="B58" s="65">
        <f>IFERROR(VLOOKUP($S$1, calc!$A$2:$EJ$500, 46, FALSE), "")</f>
        <v/>
      </c>
      <c r="C58" s="66">
        <f>IF(SUM(D58,E58,G58)=0,"",SUM(D58,E58,G58))</f>
        <v/>
      </c>
      <c r="D58" s="91">
        <f>IFERROR(VLOOKUP($S$1, calc!$A$2:$EJ$500, 49, FALSE), "")</f>
        <v/>
      </c>
      <c r="E58" s="91">
        <f>IFERROR(VLOOKUP($S$1, calc!$A$2:$EJ$500, 52, FALSE), "")</f>
        <v/>
      </c>
      <c r="F58" s="90" t="n"/>
      <c r="G58" s="91">
        <f>IFERROR(VLOOKUP($S$1, calc!$A$2:$EJ$500, 55, FALSE), "")</f>
        <v/>
      </c>
      <c r="H58" s="104">
        <f>IFERROR(VLOOKUP($S$1, calc!$A$2:$EJ$500, 105, FALSE), "")</f>
        <v/>
      </c>
      <c r="I58" s="90" t="n"/>
      <c r="J58" s="105">
        <f>IFERROR(VLOOKUP($S$1, calc!$A$2:$EJ$500, 106, FALSE), "")</f>
        <v/>
      </c>
      <c r="K58" s="90" t="n"/>
      <c r="L58" s="68">
        <f>IF(OR(D58="",H58="",J58=""), "", ROUND(D58*J58*H58, 4))</f>
        <v/>
      </c>
      <c r="M58" s="113">
        <f>IF(OR(E58="",H58="",J58=""), "", ROUND(E58*J58*H58*0.75, 4))</f>
        <v/>
      </c>
      <c r="N58" s="113">
        <f>IF(OR(G58="",H58="",J58=""), "", ROUND(G58*J58*H58*0.65, 4))</f>
        <v/>
      </c>
      <c r="O58" s="69">
        <f>IFERROR(SUM(L58:N58), "")</f>
        <v/>
      </c>
      <c r="P58" s="104" t="n"/>
      <c r="Q58" s="90" t="n"/>
    </row>
    <row r="59">
      <c r="A59" s="15" t="n"/>
      <c r="B59" s="113" t="n"/>
      <c r="C59" s="113" t="n"/>
      <c r="D59" s="113" t="n"/>
      <c r="E59" s="105" t="n"/>
      <c r="F59" s="90" t="n"/>
      <c r="G59" s="113" t="n"/>
      <c r="H59" s="105" t="n"/>
      <c r="I59" s="90" t="n"/>
      <c r="J59" s="92" t="inlineStr">
        <is>
          <t>TOTAL</t>
        </is>
      </c>
      <c r="K59" s="90" t="n"/>
      <c r="L59" s="68">
        <f>SUM(L54:L58)</f>
        <v/>
      </c>
      <c r="M59" s="68">
        <f>SUM(M54:M58)</f>
        <v/>
      </c>
      <c r="N59" s="69">
        <f>SUM(N54:N58)</f>
        <v/>
      </c>
      <c r="O59" s="68">
        <f>SUM(O54:O58)</f>
        <v/>
      </c>
      <c r="P59" s="104">
        <f>IFERROR(VLOOKUP($S$1, 'All Collected Data'!$A$2:$CR$500, 75, FALSE), "")</f>
        <v/>
      </c>
      <c r="Q59" s="90" t="n"/>
      <c r="R59" s="81">
        <f>SUM(R54:R58)</f>
        <v/>
      </c>
    </row>
    <row r="60">
      <c r="A60" s="15" t="inlineStr">
        <is>
          <t>2b</t>
        </is>
      </c>
      <c r="B60" s="113" t="inlineStr">
        <is>
          <t>Rabbi season (Oct-March) (Rabbi and Perennial Crops)</t>
        </is>
      </c>
      <c r="C60" s="89" t="n"/>
      <c r="D60" s="89" t="n"/>
      <c r="E60" s="89" t="n"/>
      <c r="F60" s="89" t="n"/>
      <c r="G60" s="90" t="n"/>
      <c r="H60" s="105" t="n"/>
      <c r="I60" s="89" t="n"/>
      <c r="J60" s="89" t="n"/>
      <c r="K60" s="89" t="n"/>
      <c r="L60" s="89" t="n"/>
      <c r="M60" s="89" t="n"/>
      <c r="N60" s="89" t="n"/>
      <c r="O60" s="89" t="n"/>
      <c r="P60" s="89" t="n"/>
      <c r="Q60" s="90" t="n"/>
    </row>
    <row r="61">
      <c r="A61" s="15" t="inlineStr">
        <is>
          <t>P</t>
        </is>
      </c>
      <c r="B61" s="71">
        <f>IFERROR(VLOOKUP($S$1, calc!$A$2:$EJ$500, 68, FALSE), "")</f>
        <v/>
      </c>
      <c r="C61" s="66">
        <f>IF(SUM(D61,E61,G61)=0,"",SUM(D61,E61,G61))</f>
        <v/>
      </c>
      <c r="D61" s="114">
        <f>IFERROR(VLOOKUP($S$1, calc!$A$2:$EJ$500, 70, FALSE), "")</f>
        <v/>
      </c>
      <c r="E61" s="114">
        <f>IFERROR(VLOOKUP($S$1, calc!$A$2:$EJ$500, 72, FALSE), "")</f>
        <v/>
      </c>
      <c r="F61" s="90" t="n"/>
      <c r="G61" s="114">
        <f>IFERROR(VLOOKUP($S$1, calc!$A$2:$EJ$500, 74, FALSE), "")</f>
        <v/>
      </c>
      <c r="H61" s="104">
        <f>IFERROR(VLOOKUP($S$1, calc!$A$2:$EJ$500, 107, FALSE), "")</f>
        <v/>
      </c>
      <c r="I61" s="90" t="n"/>
      <c r="J61" s="105">
        <f>IFERROR(VLOOKUP($S$1, calc!$A$2:$EJ$500, 108, FALSE), "")</f>
        <v/>
      </c>
      <c r="K61" s="90" t="n"/>
      <c r="L61" s="68">
        <f>IF(OR(D61="",H61="",J61=""), "", ROUND(D61*J61*H61, 4))</f>
        <v/>
      </c>
      <c r="M61" s="113">
        <f>IF(OR(E61="",H61="",J61=""), "", ROUND(E61*J61*H61*0.75, 4))</f>
        <v/>
      </c>
      <c r="N61" s="113">
        <f>IF(OR(G61="",H61="",J61=""), "", ROUND(G61*J61*H61*0.65, 4))</f>
        <v/>
      </c>
      <c r="O61" s="69">
        <f>IFERROR(SUM(L61:N61), "")</f>
        <v/>
      </c>
      <c r="P61" s="94" t="n"/>
      <c r="Q61" s="90" t="n"/>
    </row>
    <row r="62">
      <c r="A62" s="15" t="inlineStr">
        <is>
          <t>P</t>
        </is>
      </c>
      <c r="B62" s="71">
        <f>IFERROR(VLOOKUP($S$1, calc!$A$2:$EJ$500, 69, FALSE), "")</f>
        <v/>
      </c>
      <c r="C62" s="66">
        <f>IF(SUM(D62,E62,G62)=0,"",SUM(D62,E62,G62))</f>
        <v/>
      </c>
      <c r="D62" s="114">
        <f>IFERROR(VLOOKUP($S$1, calc!$A$2:$EJ$500, 71, FALSE), "")</f>
        <v/>
      </c>
      <c r="E62" s="114">
        <f>IFERROR(VLOOKUP($S$1, calc!$A$2:$EJ$500, 73, FALSE), "")</f>
        <v/>
      </c>
      <c r="F62" s="90" t="n"/>
      <c r="G62" s="114">
        <f>IFERROR(VLOOKUP($S$1, calc!$A$2:$EJ$500, 75, FALSE), "")</f>
        <v/>
      </c>
      <c r="H62" s="104">
        <f>IFERROR(VLOOKUP($S$1, calc!$A$2:$EJ$500, 109, FALSE), "")</f>
        <v/>
      </c>
      <c r="I62" s="90" t="n"/>
      <c r="J62" s="105">
        <f>IFERROR(VLOOKUP($S$1, calc!$A$2:$EJ$500, 110, FALSE), "")</f>
        <v/>
      </c>
      <c r="K62" s="90" t="n"/>
      <c r="L62" s="68">
        <f>IF(OR(D62="",H62="",J62=""), "", ROUND(D62*J62*H62, 4))</f>
        <v/>
      </c>
      <c r="M62" s="113">
        <f>IF(OR(E62="",H62="",J62=""), "", ROUND(E62*J62*H62*0.75, 4))</f>
        <v/>
      </c>
      <c r="N62" s="113">
        <f>IF(OR(G62="",H62="",J62=""), "", ROUND(G62*J62*H62*0.65, 4))</f>
        <v/>
      </c>
      <c r="O62" s="69">
        <f>IFERROR(SUM(L62:N62), "")</f>
        <v/>
      </c>
      <c r="P62" s="94" t="n"/>
      <c r="Q62" s="90" t="n"/>
    </row>
    <row r="63">
      <c r="A63" s="15" t="n">
        <v>1</v>
      </c>
      <c r="B63" s="73">
        <f>IFERROR(VLOOKUP($S$1, calc!$A$2:$EJ$500, 56, FALSE), "")</f>
        <v/>
      </c>
      <c r="C63" s="66">
        <f>IF(SUM(D63,E63,G63)=0,"",SUM(D63,E63,G63))</f>
        <v/>
      </c>
      <c r="D63" s="91">
        <f>IFERROR(VLOOKUP($S$1, calc!$A$2:$EJ$500, 59, FALSE), "")</f>
        <v/>
      </c>
      <c r="E63" s="125">
        <f>IFERROR(VLOOKUP($S$1, calc!$A$2:$EJ$500, 62, FALSE), "")</f>
        <v/>
      </c>
      <c r="F63" s="90" t="n"/>
      <c r="G63" s="65">
        <f>IFERROR(VLOOKUP($S$1, calc!$A$2:$EJ$500, 65, FALSE), "")</f>
        <v/>
      </c>
      <c r="H63" s="104">
        <f>IFERROR(VLOOKUP($S$1, calc!$A$2:$EJ$500, 111, FALSE), "")</f>
        <v/>
      </c>
      <c r="I63" s="90" t="n"/>
      <c r="J63" s="105">
        <f>IFERROR(VLOOKUP($S$1, calc!$A$2:$EJ$500, 112, FALSE), "")</f>
        <v/>
      </c>
      <c r="K63" s="90" t="n"/>
      <c r="L63" s="68">
        <f>IF(OR(D63="",H63="",J63=""), "", ROUND(D63*J63*H63, 4))</f>
        <v/>
      </c>
      <c r="M63" s="113">
        <f>IF(OR(E63="",H63="",J63=""), "", ROUND(E63*J63*H63*0.75, 4))</f>
        <v/>
      </c>
      <c r="N63" s="113">
        <f>IF(OR(G63="",H63="",J63=""), "", ROUND(G63*J63*H63*0.65, 4))</f>
        <v/>
      </c>
      <c r="O63" s="69">
        <f>IFERROR(SUM(L63:N63), "")</f>
        <v/>
      </c>
      <c r="P63" s="94" t="n"/>
      <c r="Q63" s="90" t="n"/>
    </row>
    <row r="64">
      <c r="A64" s="15" t="n">
        <v>2</v>
      </c>
      <c r="B64" s="65">
        <f>IFERROR(VLOOKUP($S$1, calc!$A$2:$EJ$500, 57, FALSE), "")</f>
        <v/>
      </c>
      <c r="C64" s="66">
        <f>IF(SUM(D64,E64,G64)=0,"",SUM(D64,E64,G64))</f>
        <v/>
      </c>
      <c r="D64" s="91">
        <f>IFERROR(VLOOKUP($S$1, calc!$A$2:$EJ$500, 60, FALSE), "")</f>
        <v/>
      </c>
      <c r="E64" s="125">
        <f>IFERROR(VLOOKUP($S$1, calc!$A$2:$EJ$500, 63, FALSE), "")</f>
        <v/>
      </c>
      <c r="F64" s="90" t="n"/>
      <c r="G64" s="65">
        <f>IFERROR(VLOOKUP($S$1, calc!$A$2:$EJ$500, 66, FALSE), "")</f>
        <v/>
      </c>
      <c r="H64" s="104">
        <f>IFERROR(VLOOKUP($S$1, calc!$A$2:$EJ$500, 113, FALSE), "")</f>
        <v/>
      </c>
      <c r="I64" s="90" t="n"/>
      <c r="J64" s="105">
        <f>IFERROR(VLOOKUP($S$1, calc!$A$2:$EJ$500, 114, FALSE), "")</f>
        <v/>
      </c>
      <c r="K64" s="90" t="n"/>
      <c r="L64" s="68">
        <f>IF(OR(D64="",H64="",J64=""), "", ROUND(D64*J64*H64, 4))</f>
        <v/>
      </c>
      <c r="M64" s="113">
        <f>IF(OR(E64="",H64="",J64=""), "", ROUND(E64*J64*H64*0.75, 4))</f>
        <v/>
      </c>
      <c r="N64" s="113">
        <f>IF(OR(G64="",H64="",J64=""), "", ROUND(G64*J64*H64*0.65, 4))</f>
        <v/>
      </c>
      <c r="O64" s="69">
        <f>IFERROR(SUM(L64:N64), "")</f>
        <v/>
      </c>
      <c r="P64" s="94" t="n"/>
      <c r="Q64" s="90" t="n"/>
    </row>
    <row r="65">
      <c r="A65" s="15" t="n">
        <v>3</v>
      </c>
      <c r="B65" s="65">
        <f>IFERROR(VLOOKUP($S$1, calc!$A$2:$EJ$500, 58, FALSE), "")</f>
        <v/>
      </c>
      <c r="C65" s="66">
        <f>IF(SUM(D65,E65,G65)=0,"",SUM(D65,E65,G65))</f>
        <v/>
      </c>
      <c r="D65" s="91">
        <f>IFERROR(VLOOKUP($S$1, calc!$A$2:$EJ$500, 61, FALSE), "")</f>
        <v/>
      </c>
      <c r="E65" s="125">
        <f>IFERROR(VLOOKUP($S$1, calc!$A$2:$EJ$500, 64, FALSE), "")</f>
        <v/>
      </c>
      <c r="F65" s="90" t="n"/>
      <c r="G65" s="65">
        <f>IFERROR(VLOOKUP($S$1, calc!$A$2:$EJ$500, 67, FALSE), "")</f>
        <v/>
      </c>
      <c r="H65" s="104">
        <f>IFERROR(VLOOKUP($S$1, calc!$A$2:$EJ$500, 115, FALSE), "")</f>
        <v/>
      </c>
      <c r="I65" s="90" t="n"/>
      <c r="J65" s="105">
        <f>IFERROR(VLOOKUP($S$1, calc!$A$2:$EJ$500, 116, FALSE), "")</f>
        <v/>
      </c>
      <c r="K65" s="90" t="n"/>
      <c r="L65" s="68">
        <f>IF(OR(D65="",H65="",J65=""), "", ROUND(D65*J65*H65, 4))</f>
        <v/>
      </c>
      <c r="M65" s="113">
        <f>IF(OR(E65="",H65="",J65=""), "", ROUND(E65*J65*H65*0.75, 4))</f>
        <v/>
      </c>
      <c r="N65" s="113">
        <f>IF(OR(G65="",H65="",J65=""), "", ROUND(G65*J65*H65*0.65, 4))</f>
        <v/>
      </c>
      <c r="O65" s="69">
        <f>IFERROR(SUM(L65:N65), "")</f>
        <v/>
      </c>
      <c r="P65" s="94" t="n"/>
      <c r="Q65" s="90" t="n"/>
    </row>
    <row r="66">
      <c r="A66" s="15" t="n"/>
      <c r="B66" s="113" t="n"/>
      <c r="C66" s="113" t="n"/>
      <c r="D66" s="113" t="n"/>
      <c r="E66" s="105" t="n"/>
      <c r="F66" s="90" t="n"/>
      <c r="G66" s="113" t="n"/>
      <c r="H66" s="105" t="n"/>
      <c r="I66" s="90" t="n"/>
      <c r="J66" s="92" t="inlineStr">
        <is>
          <t>TOTAL</t>
        </is>
      </c>
      <c r="K66" s="90" t="n"/>
      <c r="L66" s="68">
        <f>SUM(L61:L65)</f>
        <v/>
      </c>
      <c r="M66" s="68">
        <f>SUM(M61:M65)</f>
        <v/>
      </c>
      <c r="N66" s="69">
        <f>SUM(N61:N65)</f>
        <v/>
      </c>
      <c r="O66" s="68">
        <f>SUM(O61:O65)</f>
        <v/>
      </c>
      <c r="P66" s="104">
        <f>IFERROR(VLOOKUP($S$1, 'All Collected Data'!$A$2:$CR$500, 76, FALSE), "")</f>
        <v/>
      </c>
      <c r="Q66" s="90" t="n"/>
      <c r="R66" s="82">
        <f>SUM(R61:R65)</f>
        <v/>
      </c>
    </row>
    <row r="67">
      <c r="A67" s="15" t="inlineStr">
        <is>
          <t>2c</t>
        </is>
      </c>
      <c r="B67" s="113" t="inlineStr">
        <is>
          <t>Summer (April-Mid June)(Summer and Perennial Crops)</t>
        </is>
      </c>
      <c r="C67" s="89" t="n"/>
      <c r="D67" s="89" t="n"/>
      <c r="E67" s="89" t="n"/>
      <c r="F67" s="89" t="n"/>
      <c r="G67" s="90" t="n"/>
      <c r="H67" s="105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90" t="n"/>
    </row>
    <row r="68">
      <c r="A68" s="15" t="inlineStr">
        <is>
          <t>P</t>
        </is>
      </c>
      <c r="B68" s="71">
        <f>IFERROR(VLOOKUP($S$1, calc!$A$2:$EJ$500, 68, FALSE), "")</f>
        <v/>
      </c>
      <c r="C68" s="66">
        <f>IF(SUM(D68,E68,G68)=0,"",SUM(D68,E68,G68))</f>
        <v/>
      </c>
      <c r="D68" s="114">
        <f>IFERROR(VLOOKUP($S$1, calc!$A$2:$EJ$500, 70, FALSE), "")</f>
        <v/>
      </c>
      <c r="E68" s="114">
        <f>IFERROR(VLOOKUP($S$1, calc!$A$2:$EJ$500, 72, FALSE), "")</f>
        <v/>
      </c>
      <c r="F68" s="90" t="n"/>
      <c r="G68" s="114">
        <f>IFERROR(VLOOKUP($S$1, calc!$A$2:$EJ$500, 74, FALSE), "")</f>
        <v/>
      </c>
      <c r="H68" s="104">
        <f>IFERROR(VLOOKUP($S$1, calc!$A$2:$EJ$500, 117, FALSE), "")</f>
        <v/>
      </c>
      <c r="I68" s="90" t="n"/>
      <c r="J68" s="105">
        <f>IFERROR(VLOOKUP($S$1, calc!$A$2:$EJ$500, 118, FALSE), "")</f>
        <v/>
      </c>
      <c r="K68" s="90" t="n"/>
      <c r="L68" s="69">
        <f>IF(OR(D68="",H68="",J68=""), "", ROUND(D68*J68*H68, 4))</f>
        <v/>
      </c>
      <c r="M68" s="69">
        <f>IF(OR(E68="",H68="",J68=""), "", ROUND(E68*J68*H68*0.75, 4))</f>
        <v/>
      </c>
      <c r="N68" s="70">
        <f>IF(OR(G68="",H68="",J68=""), "", ROUND(G68*J68*H68*0.65, 4))</f>
        <v/>
      </c>
      <c r="O68" s="69">
        <f>IFERROR(SUM(L68:N68), "")</f>
        <v/>
      </c>
      <c r="P68" s="94" t="n"/>
      <c r="Q68" s="90" t="n"/>
    </row>
    <row r="69">
      <c r="A69" s="15" t="inlineStr">
        <is>
          <t>P</t>
        </is>
      </c>
      <c r="B69" s="71">
        <f>IFERROR(VLOOKUP($S$1, calc!$A$2:$EJ$500, 69, FALSE), "")</f>
        <v/>
      </c>
      <c r="C69" s="66">
        <f>IF(SUM(D69,E69,G69)=0,"",SUM(D69,E69,G69))</f>
        <v/>
      </c>
      <c r="D69" s="114">
        <f>IFERROR(VLOOKUP($S$1, calc!$A$2:$EJ$500, 71, FALSE), "")</f>
        <v/>
      </c>
      <c r="E69" s="114">
        <f>IFERROR(VLOOKUP($S$1, calc!$A$2:$EJ$500, 73, FALSE), "")</f>
        <v/>
      </c>
      <c r="F69" s="90" t="n"/>
      <c r="G69" s="114">
        <f>IFERROR(VLOOKUP($S$1, calc!$A$2:$EJ$500, 75, FALSE), "")</f>
        <v/>
      </c>
      <c r="H69" s="104">
        <f>IFERROR(VLOOKUP($S$1, calc!$A$2:$EJ$500, 119, FALSE), "")</f>
        <v/>
      </c>
      <c r="I69" s="90" t="n"/>
      <c r="J69" s="105">
        <f>IFERROR(VLOOKUP($S$1, calc!$A$2:$EJ$500, 120, FALSE), "")</f>
        <v/>
      </c>
      <c r="K69" s="90" t="n"/>
      <c r="L69" s="69">
        <f>IF(OR(D69="",H69="",J69=""), "", ROUND(D69*J69*H69, 4))</f>
        <v/>
      </c>
      <c r="M69" s="69">
        <f>IF(OR(E69="",H69="",J69=""), "", ROUND(E69*J69*H69*0.75, 4))</f>
        <v/>
      </c>
      <c r="N69" s="70">
        <f>IF(OR(G69="",H69="",J69=""), "", ROUND(G69*J69*H69*0.65, 4))</f>
        <v/>
      </c>
      <c r="O69" s="69">
        <f>IFERROR(SUM(L69:N69), "")</f>
        <v/>
      </c>
      <c r="P69" s="94" t="n"/>
      <c r="Q69" s="90" t="n"/>
    </row>
    <row r="70">
      <c r="A70" s="15" t="n">
        <v>1</v>
      </c>
      <c r="B70" s="65">
        <f>IFERROR(VLOOKUP($S$1, calc!$A$2:$EJ$500, 76, FALSE), "")</f>
        <v/>
      </c>
      <c r="C70" s="66">
        <f>IF(SUM(D70,E70,G70)=0,"",SUM(D70,E70,G70))</f>
        <v/>
      </c>
      <c r="D70" s="91">
        <f>IFERROR(VLOOKUP($S$1, calc!$A$2:$EJ$500, 78, FALSE), "")</f>
        <v/>
      </c>
      <c r="E70" s="91">
        <f>IFERROR(VLOOKUP($S$1, calc!$A$2:$EJ$500, 80, FALSE), "")</f>
        <v/>
      </c>
      <c r="F70" s="90" t="n"/>
      <c r="G70" s="91">
        <f>IFERROR(VLOOKUP($S$1, calc!$A$2:$EJ$500, 82, FALSE), "")</f>
        <v/>
      </c>
      <c r="H70" s="104">
        <f>IFERROR(VLOOKUP($S$1, calc!$A$2:$EJ$500, 121, FALSE), "")</f>
        <v/>
      </c>
      <c r="I70" s="90" t="n"/>
      <c r="J70" s="105">
        <f>IFERROR(VLOOKUP($S$1, calc!$A$2:$EJ$500, 122, FALSE), "")</f>
        <v/>
      </c>
      <c r="K70" s="90" t="n"/>
      <c r="L70" s="69">
        <f>IF(OR(D70="",H70="",J70=""), "", ROUND(D70*J70*H70, 4))</f>
        <v/>
      </c>
      <c r="M70" s="69">
        <f>IF(OR(E70="",H70="",J70=""), "", ROUND(E70*J70*H70*0.75, 4))</f>
        <v/>
      </c>
      <c r="N70" s="70">
        <f>IF(OR(G70="",H70="",J70=""), "", ROUND(G70*J70*H70*0.65, 4))</f>
        <v/>
      </c>
      <c r="O70" s="69">
        <f>IFERROR(SUM(L70:N70), "")</f>
        <v/>
      </c>
      <c r="P70" s="94" t="n"/>
      <c r="Q70" s="90" t="n"/>
    </row>
    <row r="71">
      <c r="A71" s="15" t="n">
        <v>2</v>
      </c>
      <c r="B71" s="65">
        <f>IFERROR(VLOOKUP($S$1, calc!$A$2:$EJ$500, 77, FALSE), "")</f>
        <v/>
      </c>
      <c r="C71" s="66">
        <f>IF(SUM(D71,E71,G71)=0,"",SUM(D71,E71,G71))</f>
        <v/>
      </c>
      <c r="D71" s="91">
        <f>IFERROR(VLOOKUP($S$1, calc!$A$2:$EJ$500, 79, FALSE), "")</f>
        <v/>
      </c>
      <c r="E71" s="91">
        <f>IFERROR(VLOOKUP($S$1, calc!$A$2:$EJ$500, 81, FALSE), "")</f>
        <v/>
      </c>
      <c r="F71" s="90" t="n"/>
      <c r="G71" s="91">
        <f>IFERROR(VLOOKUP($S$1, calc!$A$2:$EJ$500, 83, FALSE), "")</f>
        <v/>
      </c>
      <c r="H71" s="104">
        <f>IFERROR(VLOOKUP($S$1, calc!$A$2:$EJ$500, 123, FALSE), "")</f>
        <v/>
      </c>
      <c r="I71" s="90" t="n"/>
      <c r="J71" s="105">
        <f>IFERROR(VLOOKUP($S$1, calc!$A$2:$EJ$500, 124, FALSE), "")</f>
        <v/>
      </c>
      <c r="K71" s="90" t="n"/>
      <c r="L71" s="69">
        <f>IF(OR(D71="",H71="",J71=""), "", ROUND(D71*J71*H71, 4))</f>
        <v/>
      </c>
      <c r="M71" s="69">
        <f>IF(OR(E71="",H71="",J71=""), "", ROUND(E71*J71*H71*0.75, 4))</f>
        <v/>
      </c>
      <c r="N71" s="70">
        <f>IF(OR(G71="",H71="",J71=""), "", ROUND(G71*J71*H71*0.65, 4))</f>
        <v/>
      </c>
      <c r="O71" s="69">
        <f>IFERROR(SUM(L71:N71), "")</f>
        <v/>
      </c>
      <c r="P71" s="94" t="n"/>
      <c r="Q71" s="90" t="n"/>
    </row>
    <row r="72">
      <c r="A72" s="15" t="n"/>
      <c r="B72" s="113" t="n"/>
      <c r="C72" s="113" t="n"/>
      <c r="D72" s="113" t="n"/>
      <c r="E72" s="105" t="n"/>
      <c r="F72" s="90" t="n"/>
      <c r="G72" s="113" t="n"/>
      <c r="H72" s="105" t="n"/>
      <c r="I72" s="90" t="n"/>
      <c r="J72" s="92" t="inlineStr">
        <is>
          <t>TOTAL</t>
        </is>
      </c>
      <c r="K72" s="90" t="n"/>
      <c r="L72" s="69">
        <f>SUM(L68:L71)</f>
        <v/>
      </c>
      <c r="M72" s="69">
        <f>SUM(M68:M71)</f>
        <v/>
      </c>
      <c r="N72" s="69">
        <f>SUM(N68:N71)</f>
        <v/>
      </c>
      <c r="O72" s="69">
        <f>SUM(O68:O71)</f>
        <v/>
      </c>
      <c r="P72" s="104">
        <f>IFERROR(VLOOKUP($S$1, 'All Collected Data'!$A$2:$CR$500, 77, FALSE), "")</f>
        <v/>
      </c>
      <c r="Q72" s="90" t="n"/>
      <c r="R72" s="83">
        <f>SUM(R68:R71)</f>
        <v/>
      </c>
    </row>
    <row r="73" ht="15.75" customHeight="1" s="120">
      <c r="A73" s="15" t="n"/>
      <c r="B73" s="99" t="inlineStr">
        <is>
          <t>TOTAL GW Application /Draft/Yield (2a+2b+2c)</t>
        </is>
      </c>
      <c r="C73" s="89" t="n"/>
      <c r="D73" s="89" t="n"/>
      <c r="E73" s="89" t="n"/>
      <c r="F73" s="89" t="n"/>
      <c r="G73" s="89" t="n"/>
      <c r="H73" s="89" t="n"/>
      <c r="I73" s="90" t="n"/>
      <c r="J73" s="99" t="inlineStr">
        <is>
          <t>TOTAL</t>
        </is>
      </c>
      <c r="K73" s="90" t="n"/>
      <c r="L73" s="74">
        <f>L59+L66+L72</f>
        <v/>
      </c>
      <c r="M73" s="14" t="n"/>
      <c r="N73" s="14" t="n"/>
      <c r="O73" s="74">
        <f>O59+O66+O72</f>
        <v/>
      </c>
      <c r="P73" s="130">
        <f>IFERROR(VLOOKUP($S$1, 'All Collected Data'!$A$2:$CR$500, 78, FALSE), "")</f>
        <v/>
      </c>
      <c r="Q73" s="90" t="n"/>
      <c r="R73" s="84">
        <f>R59+R66+R72</f>
        <v/>
      </c>
      <c r="S73" s="75" t="n"/>
      <c r="T73" s="75" t="n"/>
    </row>
    <row r="74" ht="15.75" customHeight="1" s="120">
      <c r="A74" s="16" t="inlineStr">
        <is>
          <t>F</t>
        </is>
      </c>
      <c r="B74" s="98" t="inlineStr">
        <is>
          <t>Geological Formation</t>
        </is>
      </c>
      <c r="C74" s="90" t="n"/>
      <c r="D74" s="102" t="inlineStr">
        <is>
          <t>Deccan Trap</t>
        </is>
      </c>
      <c r="E74" s="89" t="n"/>
      <c r="F74" s="89" t="n"/>
      <c r="G74" s="89" t="n"/>
      <c r="H74" s="89" t="n"/>
      <c r="I74" s="89" t="n"/>
      <c r="J74" s="89" t="n"/>
      <c r="K74" s="90" t="n"/>
      <c r="L74" s="106" t="inlineStr">
        <is>
          <t>(Mention Name of Geological Formation)</t>
        </is>
      </c>
      <c r="M74" s="89" t="n"/>
      <c r="N74" s="89" t="n"/>
      <c r="O74" s="89" t="n"/>
      <c r="P74" s="89" t="n"/>
      <c r="Q74" s="90" t="n"/>
      <c r="R74" s="75" t="n"/>
      <c r="S74" s="75" t="n"/>
      <c r="T74" s="75" t="n"/>
    </row>
    <row r="75" ht="24.75" customHeight="1" s="120">
      <c r="A75" s="15" t="n">
        <v>1</v>
      </c>
      <c r="B75" s="102" t="n"/>
      <c r="C75" s="106" t="inlineStr">
        <is>
          <t>Lithological section observed in well (w.r.t.G.L.)</t>
        </is>
      </c>
      <c r="D75" s="89" t="n"/>
      <c r="E75" s="89" t="n"/>
      <c r="F75" s="89" t="n"/>
      <c r="G75" s="89" t="n"/>
      <c r="H75" s="89" t="n"/>
      <c r="I75" s="90" t="n"/>
      <c r="J75" s="106" t="inlineStr">
        <is>
          <t>Sketctch of the well site</t>
        </is>
      </c>
      <c r="K75" s="89" t="n"/>
      <c r="L75" s="89" t="n"/>
      <c r="M75" s="89" t="n"/>
      <c r="N75" s="89" t="n"/>
      <c r="O75" s="89" t="n"/>
      <c r="P75" s="89" t="n"/>
      <c r="Q75" s="90" t="n"/>
      <c r="R75" s="75" t="n"/>
      <c r="S75" s="75" t="n"/>
      <c r="T75" s="75" t="n"/>
    </row>
    <row r="76" ht="24.75" customHeight="1" s="120">
      <c r="A76" s="25" t="inlineStr">
        <is>
          <t>GL</t>
        </is>
      </c>
      <c r="B76" s="102" t="n"/>
      <c r="C76" s="123" t="inlineStr">
        <is>
          <t>Lithology</t>
        </is>
      </c>
      <c r="D76" s="89" t="n"/>
      <c r="E76" s="89" t="n"/>
      <c r="F76" s="89" t="n"/>
      <c r="G76" s="89" t="n"/>
      <c r="H76" s="89" t="n"/>
      <c r="I76" s="90" t="n"/>
      <c r="J76" s="106" t="inlineStr">
        <is>
          <t>(mention the direction of fractures/dyke/inflows, etc)</t>
        </is>
      </c>
      <c r="K76" s="89" t="n"/>
      <c r="L76" s="89" t="n"/>
      <c r="M76" s="89" t="n"/>
      <c r="N76" s="89" t="n"/>
      <c r="O76" s="89" t="n"/>
      <c r="P76" s="89" t="n"/>
      <c r="Q76" s="90" t="n"/>
      <c r="R76" s="75" t="n"/>
      <c r="S76" s="75" t="n"/>
      <c r="T76" s="75" t="n"/>
    </row>
    <row r="77" ht="24.75" customHeight="1" s="120">
      <c r="A77" s="15" t="n">
        <v>0</v>
      </c>
      <c r="B77" s="102" t="n"/>
      <c r="C77" s="102" t="n"/>
      <c r="D77" s="89" t="n"/>
      <c r="E77" s="89" t="n"/>
      <c r="F77" s="89" t="n"/>
      <c r="G77" s="89" t="n"/>
      <c r="H77" s="89" t="n"/>
      <c r="I77" s="90" t="n"/>
      <c r="J77" s="144" t="inlineStr">
        <is>
          <t xml:space="preserve">  N</t>
        </is>
      </c>
      <c r="K77" s="145" t="n"/>
      <c r="L77" s="145" t="n"/>
      <c r="M77" s="145" t="n"/>
      <c r="N77" s="145" t="n"/>
      <c r="O77" s="145" t="n"/>
      <c r="P77" s="145" t="n"/>
      <c r="Q77" s="116" t="n"/>
      <c r="R77" s="76" t="n"/>
      <c r="S77" s="75" t="n"/>
      <c r="T77" s="75" t="n"/>
    </row>
    <row r="78" ht="24.75" customHeight="1" s="120" thickBot="1">
      <c r="A78" s="44" t="n"/>
      <c r="B78" s="46" t="n"/>
      <c r="C78" s="109" t="n"/>
      <c r="D78" s="110" t="n"/>
      <c r="E78" s="110" t="n"/>
      <c r="F78" s="110" t="n"/>
      <c r="G78" s="110" t="n"/>
      <c r="H78" s="110" t="n"/>
      <c r="I78" s="111" t="n"/>
      <c r="J78" s="141" t="n"/>
      <c r="Q78" s="121" t="n"/>
      <c r="R78" s="77" t="n"/>
      <c r="S78" s="75" t="n"/>
      <c r="T78" s="75" t="n"/>
    </row>
    <row r="79" ht="24.75" customHeight="1" s="120" thickTop="1">
      <c r="A79" s="24" t="n"/>
      <c r="B79" s="23" t="n"/>
      <c r="C79" s="134" t="n"/>
      <c r="D79" s="96" t="n"/>
      <c r="E79" s="96" t="n"/>
      <c r="F79" s="96" t="n"/>
      <c r="G79" s="96" t="n"/>
      <c r="H79" s="96" t="n"/>
      <c r="I79" s="118" t="n"/>
      <c r="J79" s="141" t="n"/>
      <c r="Q79" s="121" t="n"/>
      <c r="R79" s="77" t="n"/>
      <c r="S79" s="75" t="n"/>
      <c r="T79" s="75" t="n"/>
      <c r="Y79" s="78" t="n"/>
    </row>
    <row r="80" ht="24.75" customHeight="1" s="120" thickBot="1">
      <c r="A80" s="41" t="n"/>
      <c r="B80" s="47" t="n"/>
      <c r="C80" s="109" t="n"/>
      <c r="D80" s="110" t="n"/>
      <c r="E80" s="110" t="n"/>
      <c r="F80" s="110" t="n"/>
      <c r="G80" s="110" t="n"/>
      <c r="H80" s="110" t="n"/>
      <c r="I80" s="111" t="n"/>
      <c r="J80" s="141" t="n"/>
      <c r="Q80" s="121" t="n"/>
      <c r="R80" s="77" t="n"/>
      <c r="S80" s="75" t="n"/>
      <c r="T80" s="75" t="n"/>
    </row>
    <row r="81" ht="24.75" customHeight="1" s="120" thickTop="1">
      <c r="A81" s="30" t="n"/>
      <c r="B81" s="23" t="n"/>
      <c r="C81" s="119" t="n"/>
      <c r="I81" s="121" t="n"/>
      <c r="J81" s="141" t="n"/>
      <c r="Q81" s="121" t="n"/>
      <c r="R81" s="75" t="n"/>
      <c r="S81" s="75" t="n"/>
      <c r="T81" s="75" t="n"/>
    </row>
    <row r="82" ht="24.75" customHeight="1" s="120" thickBot="1">
      <c r="A82" s="41" t="n"/>
      <c r="B82" s="46" t="n"/>
      <c r="C82" s="109" t="n"/>
      <c r="D82" s="110" t="n"/>
      <c r="E82" s="110" t="n"/>
      <c r="F82" s="110" t="n"/>
      <c r="G82" s="110" t="n"/>
      <c r="H82" s="110" t="n"/>
      <c r="I82" s="111" t="n"/>
      <c r="J82" s="141" t="n"/>
      <c r="Q82" s="121" t="n"/>
      <c r="R82" s="75" t="n"/>
      <c r="S82" s="75" t="n"/>
    </row>
    <row r="83" ht="24.75" customHeight="1" s="120" thickTop="1">
      <c r="A83" s="24" t="n"/>
      <c r="B83" s="23" t="n"/>
      <c r="C83" s="134" t="n"/>
      <c r="D83" s="96" t="n"/>
      <c r="E83" s="96" t="n"/>
      <c r="F83" s="96" t="n"/>
      <c r="G83" s="96" t="n"/>
      <c r="H83" s="96" t="n"/>
      <c r="I83" s="118" t="n"/>
      <c r="J83" s="141" t="n"/>
      <c r="Q83" s="121" t="n"/>
      <c r="R83" s="77" t="n"/>
      <c r="S83" s="75" t="n"/>
      <c r="T83" s="75" t="n"/>
    </row>
    <row r="84" ht="24.75" customHeight="1" s="120" thickBot="1">
      <c r="A84" s="37" t="n"/>
      <c r="B84" s="46" t="n"/>
      <c r="C84" s="109" t="n"/>
      <c r="D84" s="110" t="n"/>
      <c r="E84" s="110" t="n"/>
      <c r="F84" s="110" t="n"/>
      <c r="G84" s="110" t="n"/>
      <c r="H84" s="110" t="n"/>
      <c r="I84" s="111" t="n"/>
      <c r="J84" s="141" t="n"/>
      <c r="Q84" s="121" t="n"/>
      <c r="R84" s="77" t="n"/>
      <c r="S84" s="75" t="n"/>
      <c r="T84" s="75" t="n"/>
    </row>
    <row r="85" ht="24.75" customHeight="1" s="120" thickTop="1">
      <c r="A85" s="24" t="n"/>
      <c r="B85" s="23" t="n"/>
      <c r="C85" s="134" t="n"/>
      <c r="D85" s="96" t="n"/>
      <c r="E85" s="96" t="n"/>
      <c r="F85" s="96" t="n"/>
      <c r="G85" s="96" t="n"/>
      <c r="H85" s="96" t="n"/>
      <c r="I85" s="118" t="n"/>
      <c r="J85" s="141" t="n"/>
      <c r="Q85" s="121" t="n"/>
      <c r="R85" s="77" t="n"/>
      <c r="S85" s="75" t="n"/>
      <c r="T85" s="75" t="n"/>
    </row>
    <row r="86" ht="24.75" customHeight="1" s="120" thickBot="1">
      <c r="A86" s="37" t="n"/>
      <c r="B86" s="46" t="n"/>
      <c r="C86" s="109" t="n"/>
      <c r="D86" s="110" t="n"/>
      <c r="E86" s="110" t="n"/>
      <c r="F86" s="110" t="n"/>
      <c r="G86" s="110" t="n"/>
      <c r="H86" s="110" t="n"/>
      <c r="I86" s="111" t="n"/>
      <c r="J86" s="141" t="n"/>
      <c r="Q86" s="121" t="n"/>
      <c r="R86" s="77" t="n"/>
      <c r="S86" s="75" t="n"/>
      <c r="T86" s="75" t="n"/>
    </row>
    <row r="87" ht="24.75" customHeight="1" s="120" thickTop="1">
      <c r="A87" s="15" t="n"/>
      <c r="B87" s="102" t="n"/>
      <c r="C87" s="102" t="n"/>
      <c r="D87" s="89" t="n"/>
      <c r="E87" s="89" t="n"/>
      <c r="F87" s="89" t="n"/>
      <c r="G87" s="89" t="n"/>
      <c r="H87" s="89" t="n"/>
      <c r="I87" s="90" t="n"/>
      <c r="J87" s="141" t="n"/>
      <c r="Q87" s="121" t="n"/>
      <c r="R87" s="77" t="n"/>
      <c r="S87" s="75" t="n"/>
      <c r="T87" s="75" t="n"/>
    </row>
    <row r="88" ht="24.75" customHeight="1" s="120">
      <c r="A88" s="15" t="n"/>
      <c r="B88" s="102" t="n"/>
      <c r="C88" s="102" t="n"/>
      <c r="D88" s="89" t="n"/>
      <c r="E88" s="89" t="n"/>
      <c r="F88" s="89" t="n"/>
      <c r="G88" s="89" t="n"/>
      <c r="H88" s="89" t="n"/>
      <c r="I88" s="90" t="n"/>
      <c r="J88" s="141" t="n"/>
      <c r="Q88" s="121" t="n"/>
      <c r="R88" s="77" t="n"/>
      <c r="S88" s="75" t="n"/>
      <c r="T88" s="75" t="n"/>
    </row>
    <row r="89" ht="24.75" customHeight="1" s="120">
      <c r="A89" s="15" t="n"/>
      <c r="B89" s="102" t="n"/>
      <c r="C89" s="102" t="n"/>
      <c r="D89" s="89" t="n"/>
      <c r="E89" s="89" t="n"/>
      <c r="F89" s="89" t="n"/>
      <c r="G89" s="89" t="n"/>
      <c r="H89" s="89" t="n"/>
      <c r="I89" s="90" t="n"/>
      <c r="J89" s="141" t="n"/>
      <c r="Q89" s="121" t="n"/>
      <c r="R89" s="77" t="n"/>
      <c r="S89" s="75" t="n"/>
      <c r="T89" s="75" t="n"/>
    </row>
    <row r="90" ht="24.75" customHeight="1" s="120">
      <c r="A90" s="15" t="n"/>
      <c r="B90" s="102" t="n"/>
      <c r="C90" s="102" t="n"/>
      <c r="D90" s="89" t="n"/>
      <c r="E90" s="89" t="n"/>
      <c r="F90" s="89" t="n"/>
      <c r="G90" s="89" t="n"/>
      <c r="H90" s="89" t="n"/>
      <c r="I90" s="90" t="n"/>
      <c r="J90" s="117" t="n"/>
      <c r="K90" s="96" t="n"/>
      <c r="L90" s="96" t="n"/>
      <c r="M90" s="96" t="n"/>
      <c r="N90" s="96" t="n"/>
      <c r="O90" s="96" t="n"/>
      <c r="P90" s="96" t="n"/>
      <c r="Q90" s="118" t="n"/>
      <c r="R90" s="77" t="n"/>
      <c r="S90" s="75" t="n"/>
      <c r="T90" s="75" t="n"/>
    </row>
    <row r="91" ht="40" customHeight="1" s="120">
      <c r="A91" s="15" t="n">
        <v>2</v>
      </c>
      <c r="B91" s="136" t="inlineStr">
        <is>
          <t>Mention the Depth of Inflows observed in the Well (m.bgl)</t>
        </is>
      </c>
      <c r="C91" s="89" t="n"/>
      <c r="D91" s="89" t="n"/>
      <c r="E91" s="89" t="n"/>
      <c r="F91" s="89" t="n"/>
      <c r="G91" s="89" t="n"/>
      <c r="H91" s="89" t="n"/>
      <c r="I91" s="90" t="n"/>
      <c r="J91" s="101" t="n"/>
      <c r="K91" s="89" t="n"/>
      <c r="L91" s="89" t="n"/>
      <c r="M91" s="89" t="n"/>
      <c r="N91" s="89" t="n"/>
      <c r="O91" s="89" t="n"/>
      <c r="P91" s="89" t="n"/>
      <c r="Q91" s="90" t="n"/>
      <c r="R91" s="77" t="n"/>
      <c r="S91" s="75" t="n"/>
      <c r="T91" s="3" t="n"/>
    </row>
    <row r="92" ht="15.75" customFormat="1" customHeight="1" s="1">
      <c r="A92" s="79" t="inlineStr">
        <is>
          <t>G</t>
        </is>
      </c>
      <c r="B92" s="112" t="inlineStr">
        <is>
          <t>Wells in nearest (up to 200 m) periphery :  No</t>
        </is>
      </c>
      <c r="C92" s="89" t="n"/>
      <c r="D92" s="89" t="n"/>
      <c r="E92" s="89" t="n"/>
      <c r="F92" s="89" t="n"/>
      <c r="G92" s="89" t="n"/>
      <c r="H92" s="89" t="n"/>
      <c r="I92" s="89" t="n"/>
      <c r="J92" s="89" t="n"/>
      <c r="K92" s="89" t="n"/>
      <c r="L92" s="89" t="n"/>
      <c r="M92" s="89" t="n"/>
      <c r="N92" s="89" t="n"/>
      <c r="O92" s="89" t="n"/>
      <c r="P92" s="89" t="n"/>
      <c r="Q92" s="90" t="n"/>
      <c r="R92" s="77" t="n"/>
      <c r="S92" s="75" t="n"/>
    </row>
    <row r="93" ht="39.75" customFormat="1" customHeight="1" s="3">
      <c r="A93" s="127" t="inlineStr">
        <is>
          <t>Sr.No.</t>
        </is>
      </c>
      <c r="B93" s="135" t="inlineStr">
        <is>
          <t>Date</t>
        </is>
      </c>
      <c r="C93" s="135" t="inlineStr">
        <is>
          <t>Use of well</t>
        </is>
      </c>
      <c r="D93" s="90" t="n"/>
      <c r="E93" s="127" t="n"/>
      <c r="F93" s="89" t="n"/>
      <c r="G93" s="89" t="n"/>
      <c r="H93" s="89" t="n"/>
      <c r="I93" s="89" t="n"/>
      <c r="J93" s="90" t="n"/>
      <c r="K93" s="135" t="inlineStr">
        <is>
          <t>Name of owner</t>
        </is>
      </c>
      <c r="L93" s="89" t="n"/>
      <c r="M93" s="89" t="n"/>
      <c r="N93" s="89" t="n"/>
      <c r="O93" s="89" t="n"/>
      <c r="P93" s="89" t="n"/>
      <c r="Q93" s="90" t="n"/>
      <c r="R93" s="77" t="n"/>
      <c r="S93" s="75" t="n"/>
      <c r="T93" s="75" t="n"/>
    </row>
    <row r="94" ht="15.75" customHeight="1" s="120">
      <c r="A94" s="15" t="n"/>
      <c r="B94" s="102" t="n"/>
      <c r="C94" s="102" t="n"/>
      <c r="D94" s="90" t="n"/>
      <c r="E94" s="106" t="n"/>
      <c r="F94" s="89" t="n"/>
      <c r="G94" s="89" t="n"/>
      <c r="H94" s="89" t="n"/>
      <c r="I94" s="89" t="n"/>
      <c r="J94" s="90" t="n"/>
      <c r="K94" s="102" t="inlineStr">
        <is>
          <t>-</t>
        </is>
      </c>
      <c r="L94" s="89" t="n"/>
      <c r="M94" s="89" t="n"/>
      <c r="N94" s="89" t="n"/>
      <c r="O94" s="89" t="n"/>
      <c r="P94" s="89" t="n"/>
      <c r="Q94" s="90" t="n"/>
      <c r="R94" s="77" t="n"/>
      <c r="S94" s="75" t="n"/>
      <c r="T94" s="75" t="n"/>
    </row>
    <row r="95" ht="15.75" customHeight="1" s="120">
      <c r="A95" s="15" t="n"/>
      <c r="B95" s="102" t="n"/>
      <c r="C95" s="102" t="n"/>
      <c r="D95" s="90" t="n"/>
      <c r="E95" s="102" t="n"/>
      <c r="F95" s="89" t="n"/>
      <c r="G95" s="89" t="n"/>
      <c r="H95" s="89" t="n"/>
      <c r="I95" s="89" t="n"/>
      <c r="J95" s="90" t="n"/>
      <c r="K95" s="102" t="n"/>
      <c r="L95" s="89" t="n"/>
      <c r="M95" s="89" t="n"/>
      <c r="N95" s="89" t="n"/>
      <c r="O95" s="89" t="n"/>
      <c r="P95" s="89" t="n"/>
      <c r="Q95" s="90" t="n"/>
      <c r="R95" s="77" t="n"/>
      <c r="S95" s="75" t="n"/>
      <c r="T95" s="75" t="n"/>
    </row>
    <row r="96" ht="15.75" customHeight="1" s="120">
      <c r="A96" s="15" t="n"/>
      <c r="B96" s="102" t="n"/>
      <c r="C96" s="102" t="n"/>
      <c r="D96" s="90" t="n"/>
      <c r="E96" s="102" t="n"/>
      <c r="F96" s="89" t="n"/>
      <c r="G96" s="89" t="n"/>
      <c r="H96" s="89" t="n"/>
      <c r="I96" s="89" t="n"/>
      <c r="J96" s="90" t="n"/>
      <c r="K96" s="102" t="n"/>
      <c r="L96" s="89" t="n"/>
      <c r="M96" s="89" t="n"/>
      <c r="N96" s="89" t="n"/>
      <c r="O96" s="89" t="n"/>
      <c r="P96" s="89" t="n"/>
      <c r="Q96" s="90" t="n"/>
      <c r="R96" s="77" t="n"/>
      <c r="S96" s="75" t="n"/>
      <c r="T96" s="75" t="n"/>
    </row>
    <row r="97" ht="50.25" customHeight="1" s="120">
      <c r="A97" s="99" t="inlineStr">
        <is>
          <t>H</t>
        </is>
      </c>
      <c r="B97" s="139" t="inlineStr">
        <is>
          <t>Any other Observations and Recommendations</t>
        </is>
      </c>
      <c r="C97" s="90" t="n"/>
      <c r="D97" s="97" t="n"/>
      <c r="E97" s="89" t="n"/>
      <c r="F97" s="89" t="n"/>
      <c r="G97" s="89" t="n"/>
      <c r="H97" s="89" t="n"/>
      <c r="I97" s="89" t="n"/>
      <c r="J97" s="89" t="n"/>
      <c r="K97" s="89" t="n"/>
      <c r="L97" s="89" t="n"/>
      <c r="M97" s="89" t="n"/>
      <c r="N97" s="89" t="n"/>
      <c r="O97" s="89" t="n"/>
      <c r="P97" s="89" t="n"/>
      <c r="Q97" s="90" t="n"/>
      <c r="R97" s="77" t="n"/>
      <c r="S97" s="75" t="n"/>
      <c r="T97" s="75" t="n"/>
    </row>
    <row r="98" ht="19.5" customHeight="1" s="120">
      <c r="A98" s="99" t="inlineStr">
        <is>
          <t>I</t>
        </is>
      </c>
      <c r="B98" s="102" t="inlineStr">
        <is>
          <t>Signature</t>
        </is>
      </c>
      <c r="C98" s="90" t="n"/>
      <c r="D98" s="102" t="n"/>
      <c r="E98" s="89" t="n"/>
      <c r="F98" s="89" t="n"/>
      <c r="G98" s="89" t="n"/>
      <c r="H98" s="89" t="n"/>
      <c r="I98" s="90" t="n"/>
      <c r="J98" s="102" t="n"/>
      <c r="K98" s="89" t="n"/>
      <c r="L98" s="89" t="n"/>
      <c r="M98" s="89" t="n"/>
      <c r="N98" s="89" t="n"/>
      <c r="O98" s="89" t="n"/>
      <c r="P98" s="89" t="n"/>
      <c r="Q98" s="90" t="n"/>
      <c r="R98" s="77" t="n"/>
      <c r="S98" s="75" t="n"/>
    </row>
    <row r="99">
      <c r="A99" s="137" t="n"/>
      <c r="B99" s="102" t="inlineStr">
        <is>
          <t>Name of Geologist</t>
        </is>
      </c>
      <c r="C99" s="90" t="n"/>
      <c r="D99" s="106" t="inlineStr">
        <is>
          <t>V.N. Nimbalkar</t>
        </is>
      </c>
      <c r="E99" s="89" t="n"/>
      <c r="F99" s="89" t="n"/>
      <c r="G99" s="89" t="n"/>
      <c r="H99" s="89" t="n"/>
      <c r="I99" s="90" t="n"/>
      <c r="J99" s="106" t="n"/>
      <c r="K99" s="89" t="n"/>
      <c r="L99" s="89" t="n"/>
      <c r="M99" s="89" t="n"/>
      <c r="N99" s="89" t="n"/>
      <c r="O99" s="89" t="n"/>
      <c r="P99" s="89" t="n"/>
      <c r="Q99" s="90" t="n"/>
    </row>
    <row r="100">
      <c r="A100" s="138" t="n"/>
      <c r="B100" s="102" t="n"/>
      <c r="C100" s="90" t="n"/>
      <c r="D100" s="106" t="inlineStr">
        <is>
          <t>(Reporting officer)</t>
        </is>
      </c>
      <c r="E100" s="89" t="n"/>
      <c r="F100" s="89" t="n"/>
      <c r="G100" s="89" t="n"/>
      <c r="H100" s="89" t="n"/>
      <c r="I100" s="90" t="n"/>
      <c r="J100" s="106" t="inlineStr">
        <is>
          <t>(Verifying officer-senior Geologist)</t>
        </is>
      </c>
      <c r="K100" s="89" t="n"/>
      <c r="L100" s="89" t="n"/>
      <c r="M100" s="89" t="n"/>
      <c r="N100" s="89" t="n"/>
      <c r="O100" s="89" t="n"/>
      <c r="P100" s="89" t="n"/>
      <c r="Q100" s="90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</row>
    <row r="105">
      <c r="A105" s="4" t="n"/>
      <c r="B105" s="5" t="n"/>
      <c r="C105" s="5" t="n"/>
      <c r="D105" s="5" t="n"/>
      <c r="E105" s="5" t="n"/>
      <c r="F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</row>
    <row r="106">
      <c r="A106" s="4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</row>
    <row r="107">
      <c r="A107" s="4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</row>
    <row r="108">
      <c r="A108" s="4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</row>
    <row r="109">
      <c r="A109" s="4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</row>
    <row r="110">
      <c r="A110" s="4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</row>
    <row r="111">
      <c r="A111" s="4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</row>
    <row r="112">
      <c r="A112" s="4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</row>
    <row r="113">
      <c r="A113" s="4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</row>
    <row r="114">
      <c r="A114" s="4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</row>
    <row r="115">
      <c r="A115" s="4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</row>
    <row r="116">
      <c r="A116" s="4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</row>
    <row r="117">
      <c r="A117" s="4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</row>
    <row r="118">
      <c r="A118" s="4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</row>
    <row r="119">
      <c r="A119" s="4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</row>
    <row r="120">
      <c r="A120" s="4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</row>
    <row r="121">
      <c r="A121" s="4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</row>
    <row r="122">
      <c r="A122" s="4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</row>
    <row r="123">
      <c r="A123" s="4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</row>
    <row r="124">
      <c r="A124" s="4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</row>
    <row r="125">
      <c r="A125" s="4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</row>
    <row r="126">
      <c r="A126" s="4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</row>
    <row r="127">
      <c r="A127" s="4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</row>
    <row r="224">
      <c r="G224" t="n">
        <v>1.6</v>
      </c>
    </row>
  </sheetData>
  <mergeCells count="324">
    <mergeCell ref="L50:O50"/>
    <mergeCell ref="E71:F71"/>
    <mergeCell ref="J59:K59"/>
    <mergeCell ref="P69:Q69"/>
    <mergeCell ref="H11:J11"/>
    <mergeCell ref="M1:Q1"/>
    <mergeCell ref="H19:J19"/>
    <mergeCell ref="B25:Q25"/>
    <mergeCell ref="B73:I73"/>
    <mergeCell ref="F23:G23"/>
    <mergeCell ref="O27:P27"/>
    <mergeCell ref="B23:E23"/>
    <mergeCell ref="D74:K74"/>
    <mergeCell ref="N32:P32"/>
    <mergeCell ref="H62:I62"/>
    <mergeCell ref="J62:K62"/>
    <mergeCell ref="P24:Q24"/>
    <mergeCell ref="J64:K64"/>
    <mergeCell ref="P26:Q26"/>
    <mergeCell ref="E55:F55"/>
    <mergeCell ref="J57:K57"/>
    <mergeCell ref="L42:M42"/>
    <mergeCell ref="B16:E16"/>
    <mergeCell ref="N42:O42"/>
    <mergeCell ref="H67:Q67"/>
    <mergeCell ref="N44:O44"/>
    <mergeCell ref="J16:N16"/>
    <mergeCell ref="P37:Q37"/>
    <mergeCell ref="A52:B52"/>
    <mergeCell ref="C80:I80"/>
    <mergeCell ref="H43:I43"/>
    <mergeCell ref="B92:Q92"/>
    <mergeCell ref="L47:M47"/>
    <mergeCell ref="K29:L29"/>
    <mergeCell ref="C94:D94"/>
    <mergeCell ref="H53:Q53"/>
    <mergeCell ref="E69:F69"/>
    <mergeCell ref="J65:K65"/>
    <mergeCell ref="B13:F13"/>
    <mergeCell ref="C88:I88"/>
    <mergeCell ref="C95:D95"/>
    <mergeCell ref="H8:J8"/>
    <mergeCell ref="B99:C99"/>
    <mergeCell ref="B17:E17"/>
    <mergeCell ref="H10:J10"/>
    <mergeCell ref="E72:F72"/>
    <mergeCell ref="H50:I51"/>
    <mergeCell ref="N45:O45"/>
    <mergeCell ref="J17:N17"/>
    <mergeCell ref="E94:J94"/>
    <mergeCell ref="P38:Q38"/>
    <mergeCell ref="N47:O47"/>
    <mergeCell ref="B22:F22"/>
    <mergeCell ref="C81:I81"/>
    <mergeCell ref="O16:Q16"/>
    <mergeCell ref="E95:J95"/>
    <mergeCell ref="B28:G28"/>
    <mergeCell ref="H64:I64"/>
    <mergeCell ref="J99:Q99"/>
    <mergeCell ref="J55:K55"/>
    <mergeCell ref="O11:Q11"/>
    <mergeCell ref="B38:F38"/>
    <mergeCell ref="M28:N28"/>
    <mergeCell ref="B33:F33"/>
    <mergeCell ref="C90:I90"/>
    <mergeCell ref="J33:K33"/>
    <mergeCell ref="C76:I76"/>
    <mergeCell ref="B41:F41"/>
    <mergeCell ref="B35:F35"/>
    <mergeCell ref="H35:I35"/>
    <mergeCell ref="B100:C100"/>
    <mergeCell ref="J28:K28"/>
    <mergeCell ref="H39:I39"/>
    <mergeCell ref="J68:K68"/>
    <mergeCell ref="P59:Q59"/>
    <mergeCell ref="N46:O46"/>
    <mergeCell ref="E63:F63"/>
    <mergeCell ref="L9:N9"/>
    <mergeCell ref="P61:Q61"/>
    <mergeCell ref="L19:O19"/>
    <mergeCell ref="L11:N11"/>
    <mergeCell ref="B34:F34"/>
    <mergeCell ref="H72:I72"/>
    <mergeCell ref="F15:I15"/>
    <mergeCell ref="E96:J96"/>
    <mergeCell ref="H29:J29"/>
    <mergeCell ref="D100:I100"/>
    <mergeCell ref="H65:I65"/>
    <mergeCell ref="B30:F30"/>
    <mergeCell ref="I20:J20"/>
    <mergeCell ref="L3:Q3"/>
    <mergeCell ref="H54:I54"/>
    <mergeCell ref="H41:I41"/>
    <mergeCell ref="B27:C27"/>
    <mergeCell ref="P34:Q34"/>
    <mergeCell ref="H56:I56"/>
    <mergeCell ref="B43:F43"/>
    <mergeCell ref="H34:I34"/>
    <mergeCell ref="J34:K34"/>
    <mergeCell ref="J15:N15"/>
    <mergeCell ref="C77:I77"/>
    <mergeCell ref="O12:Q12"/>
    <mergeCell ref="P36:Q36"/>
    <mergeCell ref="H36:I36"/>
    <mergeCell ref="J36:K36"/>
    <mergeCell ref="E93:J93"/>
    <mergeCell ref="O13:Q13"/>
    <mergeCell ref="L44:M44"/>
    <mergeCell ref="O15:Q15"/>
    <mergeCell ref="L6:M6"/>
    <mergeCell ref="P62:Q62"/>
    <mergeCell ref="E66:F66"/>
    <mergeCell ref="L12:N12"/>
    <mergeCell ref="J76:Q76"/>
    <mergeCell ref="P4:Q4"/>
    <mergeCell ref="P64:Q64"/>
    <mergeCell ref="I23:O23"/>
    <mergeCell ref="L22:O22"/>
    <mergeCell ref="E68:F68"/>
    <mergeCell ref="C9:E9"/>
    <mergeCell ref="B31:F31"/>
    <mergeCell ref="H58:I58"/>
    <mergeCell ref="B39:F39"/>
    <mergeCell ref="C11:E11"/>
    <mergeCell ref="O20:P20"/>
    <mergeCell ref="B98:C98"/>
    <mergeCell ref="D27:E27"/>
    <mergeCell ref="D97:Q97"/>
    <mergeCell ref="E59:F59"/>
    <mergeCell ref="D98:I98"/>
    <mergeCell ref="H57:I57"/>
    <mergeCell ref="E61:F61"/>
    <mergeCell ref="P19:Q19"/>
    <mergeCell ref="B48:Q48"/>
    <mergeCell ref="K94:Q94"/>
    <mergeCell ref="C6:E6"/>
    <mergeCell ref="N33:Q33"/>
    <mergeCell ref="E54:F54"/>
    <mergeCell ref="H42:I42"/>
    <mergeCell ref="J42:K42"/>
    <mergeCell ref="C4:E4"/>
    <mergeCell ref="E56:F56"/>
    <mergeCell ref="J52:K52"/>
    <mergeCell ref="K4:O4"/>
    <mergeCell ref="J39:K39"/>
    <mergeCell ref="J44:K44"/>
    <mergeCell ref="B60:G60"/>
    <mergeCell ref="J37:K37"/>
    <mergeCell ref="L37:M37"/>
    <mergeCell ref="H4:I4"/>
    <mergeCell ref="B53:G53"/>
    <mergeCell ref="N37:O37"/>
    <mergeCell ref="P72:Q72"/>
    <mergeCell ref="C87:I87"/>
    <mergeCell ref="P65:Q65"/>
    <mergeCell ref="K95:Q95"/>
    <mergeCell ref="H70:I70"/>
    <mergeCell ref="J70:K70"/>
    <mergeCell ref="C89:I89"/>
    <mergeCell ref="J32:K32"/>
    <mergeCell ref="J63:K63"/>
    <mergeCell ref="H47:I47"/>
    <mergeCell ref="J47:K47"/>
    <mergeCell ref="B74:C74"/>
    <mergeCell ref="P50:Q51"/>
    <mergeCell ref="O30:Q30"/>
    <mergeCell ref="C96:D96"/>
    <mergeCell ref="C3:G3"/>
    <mergeCell ref="E62:F62"/>
    <mergeCell ref="C82:I82"/>
    <mergeCell ref="E64:F64"/>
    <mergeCell ref="P22:Q22"/>
    <mergeCell ref="E51:F51"/>
    <mergeCell ref="C83:I83"/>
    <mergeCell ref="C93:D93"/>
    <mergeCell ref="F16:I16"/>
    <mergeCell ref="J45:K45"/>
    <mergeCell ref="L45:M45"/>
    <mergeCell ref="E65:F65"/>
    <mergeCell ref="L38:M38"/>
    <mergeCell ref="N38:O38"/>
    <mergeCell ref="B18:Q18"/>
    <mergeCell ref="B5:P5"/>
    <mergeCell ref="K96:Q96"/>
    <mergeCell ref="H71:I71"/>
    <mergeCell ref="O9:Q9"/>
    <mergeCell ref="J71:K71"/>
    <mergeCell ref="P58:Q58"/>
    <mergeCell ref="J58:K58"/>
    <mergeCell ref="B21:G21"/>
    <mergeCell ref="H21:J21"/>
    <mergeCell ref="P73:Q73"/>
    <mergeCell ref="N35:O35"/>
    <mergeCell ref="J73:K73"/>
    <mergeCell ref="P35:Q35"/>
    <mergeCell ref="A42:F42"/>
    <mergeCell ref="K93:Q93"/>
    <mergeCell ref="J98:Q98"/>
    <mergeCell ref="A98:A100"/>
    <mergeCell ref="B29:C29"/>
    <mergeCell ref="M27:N27"/>
    <mergeCell ref="C85:I85"/>
    <mergeCell ref="H28:I28"/>
    <mergeCell ref="C84:I84"/>
    <mergeCell ref="F17:I17"/>
    <mergeCell ref="J46:K46"/>
    <mergeCell ref="L46:M46"/>
    <mergeCell ref="J61:K61"/>
    <mergeCell ref="E58:F58"/>
    <mergeCell ref="H6:J6"/>
    <mergeCell ref="B97:C97"/>
    <mergeCell ref="C10:E10"/>
    <mergeCell ref="B91:I91"/>
    <mergeCell ref="B15:E15"/>
    <mergeCell ref="N41:O41"/>
    <mergeCell ref="A50:A51"/>
    <mergeCell ref="I3:K3"/>
    <mergeCell ref="C50:C51"/>
    <mergeCell ref="P56:Q56"/>
    <mergeCell ref="L43:M43"/>
    <mergeCell ref="N43:O43"/>
    <mergeCell ref="H30:N30"/>
    <mergeCell ref="G7:P7"/>
    <mergeCell ref="B36:F36"/>
    <mergeCell ref="P54:Q54"/>
    <mergeCell ref="P29:Q29"/>
    <mergeCell ref="L74:Q74"/>
    <mergeCell ref="H44:I44"/>
    <mergeCell ref="J69:K69"/>
    <mergeCell ref="B19:G19"/>
    <mergeCell ref="O8:Q8"/>
    <mergeCell ref="B20:G20"/>
    <mergeCell ref="P57:Q57"/>
    <mergeCell ref="B49:F49"/>
    <mergeCell ref="B24:O24"/>
    <mergeCell ref="B50:B51"/>
    <mergeCell ref="B32:F32"/>
    <mergeCell ref="B26:F26"/>
    <mergeCell ref="B40:Q40"/>
    <mergeCell ref="H55:I55"/>
    <mergeCell ref="A15:A17"/>
    <mergeCell ref="G13:K13"/>
    <mergeCell ref="G26:I26"/>
    <mergeCell ref="P41:Q47"/>
    <mergeCell ref="L39:M39"/>
    <mergeCell ref="H52:I52"/>
    <mergeCell ref="N39:O39"/>
    <mergeCell ref="P39:Q39"/>
    <mergeCell ref="P70:Q70"/>
    <mergeCell ref="B44:F44"/>
    <mergeCell ref="D29:F29"/>
    <mergeCell ref="H45:I45"/>
    <mergeCell ref="B37:F37"/>
    <mergeCell ref="H37:I37"/>
    <mergeCell ref="O10:Q10"/>
    <mergeCell ref="H60:Q60"/>
    <mergeCell ref="J91:Q91"/>
    <mergeCell ref="P63:Q63"/>
    <mergeCell ref="H63:I63"/>
    <mergeCell ref="L21:O21"/>
    <mergeCell ref="L8:N8"/>
    <mergeCell ref="H68:I68"/>
    <mergeCell ref="G22:J22"/>
    <mergeCell ref="L10:N10"/>
    <mergeCell ref="P52:Q52"/>
    <mergeCell ref="J50:K51"/>
    <mergeCell ref="D50:G50"/>
    <mergeCell ref="C86:I86"/>
    <mergeCell ref="J27:K27"/>
    <mergeCell ref="G49:H49"/>
    <mergeCell ref="M29:O29"/>
    <mergeCell ref="H69:I69"/>
    <mergeCell ref="A2:Q2"/>
    <mergeCell ref="C75:I75"/>
    <mergeCell ref="D99:I99"/>
    <mergeCell ref="P71:Q71"/>
    <mergeCell ref="B45:F45"/>
    <mergeCell ref="P55:Q55"/>
    <mergeCell ref="B47:F47"/>
    <mergeCell ref="H38:I38"/>
    <mergeCell ref="B67:G67"/>
    <mergeCell ref="J38:K38"/>
    <mergeCell ref="O28:P28"/>
    <mergeCell ref="B46:F46"/>
    <mergeCell ref="E52:F52"/>
    <mergeCell ref="B7:E7"/>
    <mergeCell ref="J49:Q49"/>
    <mergeCell ref="O17:Q17"/>
    <mergeCell ref="J35:K35"/>
    <mergeCell ref="L35:M35"/>
    <mergeCell ref="J100:Q100"/>
    <mergeCell ref="P66:Q66"/>
    <mergeCell ref="H66:I66"/>
    <mergeCell ref="E70:F70"/>
    <mergeCell ref="J66:K66"/>
    <mergeCell ref="E57:F57"/>
    <mergeCell ref="P68:Q68"/>
    <mergeCell ref="H9:J9"/>
    <mergeCell ref="J72:K72"/>
    <mergeCell ref="K26:O26"/>
    <mergeCell ref="H59:I59"/>
    <mergeCell ref="K20:L20"/>
    <mergeCell ref="M20:N20"/>
    <mergeCell ref="P21:Q21"/>
    <mergeCell ref="H46:I46"/>
    <mergeCell ref="C78:I78"/>
    <mergeCell ref="J77:Q90"/>
    <mergeCell ref="C8:E8"/>
    <mergeCell ref="H61:I61"/>
    <mergeCell ref="P23:Q23"/>
    <mergeCell ref="C79:I79"/>
    <mergeCell ref="J54:K54"/>
    <mergeCell ref="J41:K41"/>
    <mergeCell ref="I31:Q31"/>
    <mergeCell ref="L41:M41"/>
    <mergeCell ref="H27:I27"/>
    <mergeCell ref="J56:K56"/>
    <mergeCell ref="J75:Q75"/>
    <mergeCell ref="L34:M34"/>
    <mergeCell ref="J43:K43"/>
    <mergeCell ref="N34:O34"/>
    <mergeCell ref="B14:Q14"/>
    <mergeCell ref="L36:M36"/>
    <mergeCell ref="N36:O36"/>
  </mergeCells>
  <printOptions horizontalCentered="1"/>
  <pageMargins left="0.3" right="0" top="0.5" bottom="0" header="0" footer="0"/>
  <pageSetup orientation="portrait" paperSize="5" scale="85"/>
  <rowBreaks count="1" manualBreakCount="1">
    <brk id="47" min="0" max="16" man="1"/>
  </rowBreaks>
</worksheet>
</file>

<file path=xl/worksheets/sheet2.xml><?xml version="1.0" encoding="utf-8"?>
<worksheet xmlns="http://schemas.openxmlformats.org/spreadsheetml/2006/main">
  <sheetPr codeName="Sheet9">
    <outlinePr summaryBelow="1" summaryRight="1"/>
    <pageSetUpPr/>
  </sheetPr>
  <dimension ref="A1:S118"/>
  <sheetViews>
    <sheetView view="pageBreakPreview" topLeftCell="A86" zoomScaleNormal="100" zoomScaleSheetLayoutView="100" workbookViewId="0">
      <selection activeCell="B22" sqref="B22:F22"/>
    </sheetView>
  </sheetViews>
  <sheetFormatPr baseColWidth="8" defaultRowHeight="14.5"/>
  <cols>
    <col width="4.453125" customWidth="1" style="7" min="1" max="1"/>
    <col width="14.81640625" customWidth="1" style="8" min="2" max="2"/>
    <col width="7.54296875" customWidth="1" style="120" min="3" max="3"/>
    <col width="3.453125" customWidth="1" style="120" min="4" max="4"/>
    <col width="5.26953125" customWidth="1" style="120" min="5" max="5"/>
    <col width="4.1796875" customWidth="1" style="120" min="6" max="6"/>
    <col width="13.54296875" customWidth="1" style="120" min="7" max="7"/>
    <col width="5.81640625" customWidth="1" style="120" min="8" max="8"/>
    <col width="4.7265625" customWidth="1" style="120" min="9" max="9"/>
    <col width="6" customWidth="1" style="120" min="10" max="11"/>
    <col width="13.453125" customWidth="1" style="120" min="12" max="12"/>
    <col width="6.453125" customWidth="1" style="120" min="13" max="13"/>
    <col width="5.453125" customWidth="1" style="120" min="14" max="14"/>
    <col width="7.453125" customWidth="1" style="120" min="15" max="15"/>
    <col width="5.81640625" customWidth="1" style="120" min="16" max="16"/>
    <col width="7" customWidth="1" style="120" min="17" max="17"/>
  </cols>
  <sheetData>
    <row r="1" ht="15.5" customHeight="1" s="120">
      <c r="L1" s="95" t="inlineStr">
        <is>
          <t>Technical Form No.GSDA/PWS/DW/2025</t>
        </is>
      </c>
      <c r="M1" s="96" t="n"/>
      <c r="N1" s="96" t="n"/>
      <c r="O1" s="96" t="n"/>
      <c r="P1" s="96" t="n"/>
      <c r="Q1" s="96" t="n"/>
      <c r="R1" s="85" t="inlineStr">
        <is>
          <t>Select Sr.No. -&gt;</t>
        </is>
      </c>
      <c r="S1" s="86" t="n">
        <v>1</v>
      </c>
    </row>
    <row r="2" ht="25" customFormat="1" customHeight="1" s="52">
      <c r="A2" s="142" t="inlineStr">
        <is>
          <t>PWS Dug well Inventory form</t>
        </is>
      </c>
      <c r="B2" s="89" t="n"/>
      <c r="C2" s="89" t="n"/>
      <c r="D2" s="89" t="n"/>
      <c r="E2" s="89" t="n"/>
      <c r="F2" s="89" t="n"/>
      <c r="G2" s="89" t="n"/>
      <c r="H2" s="89" t="n"/>
      <c r="I2" s="89" t="n"/>
      <c r="J2" s="89" t="n"/>
      <c r="K2" s="89" t="n"/>
      <c r="L2" s="89" t="n"/>
      <c r="M2" s="89" t="n"/>
      <c r="N2" s="89" t="n"/>
      <c r="O2" s="89" t="n"/>
      <c r="P2" s="89" t="n"/>
      <c r="Q2" s="90" t="n"/>
    </row>
    <row r="3" ht="18.75" customHeight="1" s="120">
      <c r="A3" s="9" t="n">
        <v>1</v>
      </c>
      <c r="B3" s="102" t="inlineStr">
        <is>
          <t>Name of Geologist</t>
        </is>
      </c>
      <c r="C3" s="132" t="n"/>
      <c r="D3" s="89" t="n"/>
      <c r="E3" s="89" t="n"/>
      <c r="F3" s="89" t="n"/>
      <c r="G3" s="90" t="n"/>
      <c r="H3" s="106" t="n">
        <v>2</v>
      </c>
      <c r="I3" s="136" t="inlineStr">
        <is>
          <t>Designation</t>
        </is>
      </c>
      <c r="J3" s="89" t="n"/>
      <c r="K3" s="90" t="n"/>
      <c r="L3" s="97" t="n"/>
      <c r="M3" s="89" t="n"/>
      <c r="N3" s="89" t="n"/>
      <c r="O3" s="89" t="n"/>
      <c r="P3" s="89" t="n"/>
      <c r="Q3" s="90" t="n"/>
    </row>
    <row r="4" ht="49.5" customHeight="1" s="120">
      <c r="A4" s="9" t="n">
        <v>3</v>
      </c>
      <c r="B4" s="107" t="inlineStr">
        <is>
          <t>Date of Inventory (DD/MM/YY)</t>
        </is>
      </c>
      <c r="C4" s="159" t="n"/>
      <c r="D4" s="89" t="n"/>
      <c r="E4" s="90" t="n"/>
      <c r="F4" s="102" t="n">
        <v>4</v>
      </c>
      <c r="G4" s="107" t="inlineStr">
        <is>
          <t>Time (24 Hrs format)</t>
        </is>
      </c>
      <c r="H4" s="131" t="n"/>
      <c r="I4" s="90" t="n"/>
      <c r="J4" s="102" t="n">
        <v>5</v>
      </c>
      <c r="K4" s="107" t="inlineStr">
        <is>
          <t>Project/Assignment for which Inventory is being done</t>
        </is>
      </c>
      <c r="L4" s="89" t="n"/>
      <c r="M4" s="89" t="n"/>
      <c r="N4" s="89" t="n"/>
      <c r="O4" s="90" t="n"/>
      <c r="P4" s="122" t="n"/>
      <c r="Q4" s="90" t="n"/>
    </row>
    <row r="5" customFormat="1" s="1">
      <c r="A5" s="12" t="inlineStr">
        <is>
          <t>A</t>
        </is>
      </c>
      <c r="B5" s="98" t="inlineStr">
        <is>
          <t>Well Location details</t>
        </is>
      </c>
      <c r="C5" s="89" t="n"/>
      <c r="D5" s="89" t="n"/>
      <c r="E5" s="89" t="n"/>
      <c r="F5" s="89" t="n"/>
      <c r="G5" s="89" t="n"/>
      <c r="H5" s="89" t="n"/>
      <c r="I5" s="89" t="n"/>
      <c r="J5" s="89" t="n"/>
      <c r="K5" s="89" t="n"/>
      <c r="L5" s="89" t="n"/>
      <c r="M5" s="89" t="n"/>
      <c r="N5" s="89" t="n"/>
      <c r="O5" s="89" t="n"/>
      <c r="P5" s="90" t="n"/>
      <c r="Q5" s="98" t="n"/>
    </row>
    <row r="6" ht="51" customHeight="1" s="120">
      <c r="A6" s="9" t="n">
        <v>1</v>
      </c>
      <c r="B6" s="107" t="inlineStr">
        <is>
          <t>Well No. (Sequence No. in the 10K sheet)</t>
        </is>
      </c>
      <c r="C6" s="122" t="n"/>
      <c r="D6" s="89" t="n"/>
      <c r="E6" s="90" t="n"/>
      <c r="F6" s="102" t="n">
        <v>2</v>
      </c>
      <c r="G6" s="107" t="inlineStr">
        <is>
          <t>Type of well (DW/DCB)</t>
        </is>
      </c>
      <c r="H6" s="93" t="n"/>
      <c r="I6" s="89" t="n"/>
      <c r="J6" s="90" t="n"/>
      <c r="K6" s="102" t="n">
        <v>3</v>
      </c>
      <c r="L6" s="107" t="inlineStr">
        <is>
          <t>Altitude (m.MSL)</t>
        </is>
      </c>
      <c r="M6" s="90" t="n"/>
      <c r="N6" s="102" t="inlineStr">
        <is>
          <t xml:space="preserve">GL </t>
        </is>
      </c>
      <c r="O6" s="97" t="n"/>
      <c r="P6" s="102" t="inlineStr">
        <is>
          <t>MP</t>
        </is>
      </c>
      <c r="Q6" s="14">
        <f>O6+P36</f>
        <v/>
      </c>
    </row>
    <row r="7" ht="18" customHeight="1" s="120">
      <c r="A7" s="9" t="n">
        <v>4</v>
      </c>
      <c r="B7" s="136" t="inlineStr">
        <is>
          <t>Name of Village in whose area the well is Located</t>
        </is>
      </c>
      <c r="C7" s="89" t="n"/>
      <c r="D7" s="89" t="n"/>
      <c r="E7" s="89" t="n"/>
      <c r="F7" s="89" t="n"/>
      <c r="G7" s="90" t="n"/>
      <c r="H7" s="93" t="n"/>
      <c r="I7" s="89" t="n"/>
      <c r="J7" s="90" t="n"/>
      <c r="K7" s="102" t="n">
        <v>5</v>
      </c>
      <c r="L7" s="102" t="inlineStr">
        <is>
          <t>Village Census No.</t>
        </is>
      </c>
      <c r="M7" s="89" t="n"/>
      <c r="N7" s="90" t="n"/>
      <c r="O7" s="136" t="n"/>
      <c r="P7" s="89" t="n"/>
      <c r="Q7" s="90" t="n"/>
    </row>
    <row r="8" ht="18" customHeight="1" s="120">
      <c r="A8" s="9" t="n">
        <v>6</v>
      </c>
      <c r="B8" s="102" t="inlineStr">
        <is>
          <t>Taluka Name</t>
        </is>
      </c>
      <c r="C8" s="97" t="n"/>
      <c r="D8" s="89" t="n"/>
      <c r="E8" s="90" t="n"/>
      <c r="F8" s="102" t="n">
        <v>7</v>
      </c>
      <c r="G8" s="102" t="inlineStr">
        <is>
          <t>District Name</t>
        </is>
      </c>
      <c r="H8" s="136" t="n"/>
      <c r="I8" s="89" t="n"/>
      <c r="J8" s="90" t="n"/>
      <c r="K8" s="102" t="n">
        <v>8</v>
      </c>
      <c r="L8" s="102" t="inlineStr">
        <is>
          <t>Mini Watershed No.</t>
        </is>
      </c>
      <c r="M8" s="89" t="n"/>
      <c r="N8" s="90" t="n"/>
      <c r="O8" s="136" t="n"/>
      <c r="P8" s="89" t="n"/>
      <c r="Q8" s="90" t="n"/>
    </row>
    <row r="9" ht="27.75" customHeight="1" s="120">
      <c r="A9" s="9" t="n">
        <v>9</v>
      </c>
      <c r="B9" s="102" t="inlineStr">
        <is>
          <t>SOI Toposheet No.</t>
        </is>
      </c>
      <c r="C9" s="102" t="n"/>
      <c r="D9" s="89" t="n"/>
      <c r="E9" s="90" t="n"/>
      <c r="F9" s="102" t="n">
        <v>10</v>
      </c>
      <c r="G9" s="102" t="inlineStr">
        <is>
          <t>10 K Sheet No.</t>
        </is>
      </c>
      <c r="H9" s="93" t="n"/>
      <c r="I9" s="89" t="n"/>
      <c r="J9" s="90" t="n"/>
      <c r="K9" s="102" t="n">
        <v>11</v>
      </c>
      <c r="L9" s="107" t="inlineStr">
        <is>
          <t>Quadrant No.of  10K Sheet (EX-A1)</t>
        </is>
      </c>
      <c r="M9" s="89" t="n"/>
      <c r="N9" s="90" t="n"/>
      <c r="O9" s="122" t="n"/>
      <c r="P9" s="89" t="n"/>
      <c r="Q9" s="90" t="n"/>
    </row>
    <row r="10" ht="18.75" customHeight="1" s="120">
      <c r="A10" s="9" t="n">
        <v>12</v>
      </c>
      <c r="B10" s="102" t="inlineStr">
        <is>
          <t>Latitude(DMS)</t>
        </is>
      </c>
      <c r="C10" s="93" t="n"/>
      <c r="D10" s="89" t="n"/>
      <c r="E10" s="90" t="n"/>
      <c r="F10" s="102" t="n">
        <v>13</v>
      </c>
      <c r="G10" s="102" t="inlineStr">
        <is>
          <t>Longitude(DMS)</t>
        </is>
      </c>
      <c r="H10" s="93" t="n"/>
      <c r="I10" s="89" t="n"/>
      <c r="J10" s="90" t="n"/>
      <c r="K10" s="102" t="n">
        <v>14</v>
      </c>
      <c r="L10" s="102" t="inlineStr">
        <is>
          <t>Gat/Survey No.</t>
        </is>
      </c>
      <c r="M10" s="89" t="n"/>
      <c r="N10" s="90" t="n"/>
      <c r="O10" s="93" t="n"/>
      <c r="P10" s="89" t="n"/>
      <c r="Q10" s="90" t="n"/>
    </row>
    <row r="11" ht="18.75" customHeight="1" s="120">
      <c r="A11" s="9" t="n"/>
      <c r="B11" s="26" t="inlineStr">
        <is>
          <t>Latitude (DMS)</t>
        </is>
      </c>
      <c r="C11" s="36" t="n">
        <v>18.1613069</v>
      </c>
      <c r="D11" s="35">
        <f>INT((C10-INT(C10))*60)</f>
        <v/>
      </c>
      <c r="E11" s="35">
        <f>((C10-INT(C10))*60-INT((C10-INT(C10))*60))*60</f>
        <v/>
      </c>
      <c r="F11" s="32" t="n"/>
      <c r="G11" s="33" t="inlineStr">
        <is>
          <t>Longitude (DMS)</t>
        </is>
      </c>
      <c r="H11" s="34" t="n">
        <v>76.3894379</v>
      </c>
      <c r="I11" s="27">
        <f>INT((H10-INT(H10))*60)</f>
        <v/>
      </c>
      <c r="J11" s="27">
        <f>((H10-INT(H10))*60-INT((H10-INT(H10))*60))*60</f>
        <v/>
      </c>
      <c r="K11" s="32" t="n"/>
      <c r="L11" s="102" t="n"/>
      <c r="M11" s="102" t="n"/>
      <c r="N11" s="102" t="n"/>
      <c r="O11" s="106" t="n"/>
      <c r="P11" s="106" t="n"/>
      <c r="Q11" s="106" t="n"/>
    </row>
    <row r="12" ht="21" customHeight="1" s="120">
      <c r="A12" s="9" t="n">
        <v>15</v>
      </c>
      <c r="B12" s="102" t="inlineStr">
        <is>
          <t>Well ID (Census no+Lat+long+type of well</t>
        </is>
      </c>
      <c r="C12" s="89" t="n"/>
      <c r="D12" s="89" t="n"/>
      <c r="E12" s="89" t="n"/>
      <c r="F12" s="90" t="n"/>
      <c r="G12" s="136">
        <f>O7&amp;C10&amp;H10&amp;H6</f>
        <v/>
      </c>
      <c r="H12" s="89" t="n"/>
      <c r="I12" s="89" t="n"/>
      <c r="J12" s="89" t="n"/>
      <c r="K12" s="90" t="n"/>
      <c r="L12" s="102" t="n"/>
      <c r="M12" s="102" t="n"/>
      <c r="N12" s="102" t="n"/>
      <c r="O12" s="102" t="n"/>
      <c r="P12" s="89" t="n"/>
      <c r="Q12" s="90" t="n"/>
    </row>
    <row r="13" ht="26.25" customHeight="1" s="120">
      <c r="A13" s="9" t="n">
        <v>16</v>
      </c>
      <c r="B13" s="115" t="inlineStr">
        <is>
          <t>Whether the well is located in command area of any surface water reservoir (projects) (if yes mention the following details)</t>
        </is>
      </c>
      <c r="C13" s="89" t="n"/>
      <c r="D13" s="89" t="n"/>
      <c r="E13" s="89" t="n"/>
      <c r="F13" s="89" t="n"/>
      <c r="G13" s="89" t="n"/>
      <c r="H13" s="89" t="n"/>
      <c r="I13" s="89" t="n"/>
      <c r="J13" s="89" t="n"/>
      <c r="K13" s="89" t="n"/>
      <c r="L13" s="89" t="n"/>
      <c r="M13" s="89" t="n"/>
      <c r="N13" s="89" t="n"/>
      <c r="O13" s="89" t="n"/>
      <c r="P13" s="89" t="n"/>
      <c r="Q13" s="90" t="n"/>
    </row>
    <row r="14" ht="18.75" customHeight="1" s="120">
      <c r="A14" s="106" t="n"/>
      <c r="B14" s="102" t="inlineStr">
        <is>
          <t>Name of the Reservour (project)</t>
        </is>
      </c>
      <c r="C14" s="89" t="n"/>
      <c r="D14" s="89" t="n"/>
      <c r="E14" s="90" t="n"/>
      <c r="F14" s="97" t="n"/>
      <c r="G14" s="89" t="n"/>
      <c r="H14" s="89" t="n"/>
      <c r="I14" s="90" t="n"/>
      <c r="J14" s="102" t="inlineStr">
        <is>
          <t>Type (major/medium/mionr/PT)</t>
        </is>
      </c>
      <c r="K14" s="89" t="n"/>
      <c r="L14" s="89" t="n"/>
      <c r="M14" s="89" t="n"/>
      <c r="N14" s="90" t="n"/>
      <c r="O14" s="122" t="n"/>
      <c r="P14" s="89" t="n"/>
      <c r="Q14" s="90" t="n"/>
    </row>
    <row r="15" ht="25.5" customHeight="1" s="120">
      <c r="A15" s="137" t="n"/>
      <c r="B15" s="107" t="inlineStr">
        <is>
          <t>Distance and Direction of reservoir from the well</t>
        </is>
      </c>
      <c r="C15" s="89" t="n"/>
      <c r="D15" s="89" t="n"/>
      <c r="E15" s="90" t="n"/>
      <c r="F15" s="97" t="n"/>
      <c r="G15" s="89" t="n"/>
      <c r="H15" s="89" t="n"/>
      <c r="I15" s="90" t="n"/>
      <c r="J15" s="107" t="inlineStr">
        <is>
          <t>Name of the nearest Canal of the project</t>
        </is>
      </c>
      <c r="K15" s="89" t="n"/>
      <c r="L15" s="89" t="n"/>
      <c r="M15" s="89" t="n"/>
      <c r="N15" s="90" t="n"/>
      <c r="O15" s="122" t="n"/>
      <c r="P15" s="89" t="n"/>
      <c r="Q15" s="90" t="n"/>
    </row>
    <row r="16" ht="26.25" customHeight="1" s="120">
      <c r="A16" s="138" t="n"/>
      <c r="B16" s="115" t="inlineStr">
        <is>
          <t>Distance and Direction of the Canal from the well</t>
        </is>
      </c>
      <c r="C16" s="89" t="n"/>
      <c r="D16" s="89" t="n"/>
      <c r="E16" s="90" t="n"/>
      <c r="F16" s="97" t="n"/>
      <c r="G16" s="89" t="n"/>
      <c r="H16" s="89" t="n"/>
      <c r="I16" s="90" t="n"/>
      <c r="J16" s="107" t="inlineStr">
        <is>
          <t>Nature of operartion of Canal (Seasonal/perennial)</t>
        </is>
      </c>
      <c r="K16" s="89" t="n"/>
      <c r="L16" s="89" t="n"/>
      <c r="M16" s="89" t="n"/>
      <c r="N16" s="90" t="n"/>
      <c r="O16" s="122" t="n"/>
      <c r="P16" s="89" t="n"/>
      <c r="Q16" s="90" t="n"/>
    </row>
    <row r="17">
      <c r="A17" s="50" t="inlineStr">
        <is>
          <t>B1</t>
        </is>
      </c>
      <c r="B17" s="151" t="inlineStr">
        <is>
          <t>Village Water Supply Details (Applicable for Domestic or PWS Well)</t>
        </is>
      </c>
      <c r="C17" s="89" t="n"/>
      <c r="D17" s="89" t="n"/>
      <c r="E17" s="89" t="n"/>
      <c r="F17" s="89" t="n"/>
      <c r="G17" s="89" t="n"/>
      <c r="H17" s="89" t="n"/>
      <c r="I17" s="89" t="n"/>
      <c r="J17" s="89" t="n"/>
      <c r="K17" s="89" t="n"/>
      <c r="L17" s="89" t="n"/>
      <c r="M17" s="89" t="n"/>
      <c r="N17" s="89" t="n"/>
      <c r="O17" s="89" t="n"/>
      <c r="P17" s="89" t="n"/>
      <c r="Q17" s="90" t="n"/>
    </row>
    <row r="18">
      <c r="A18" s="28" t="n">
        <v>1</v>
      </c>
      <c r="B18" s="150" t="inlineStr">
        <is>
          <t>Name of Village to which water is supplied (Owner of PWS Well)</t>
        </is>
      </c>
      <c r="C18" s="89" t="n"/>
      <c r="D18" s="89" t="n"/>
      <c r="E18" s="89" t="n"/>
      <c r="F18" s="89" t="n"/>
      <c r="G18" s="89" t="n"/>
      <c r="H18" s="89" t="n"/>
      <c r="I18" s="89" t="n"/>
      <c r="J18" s="90" t="n"/>
      <c r="K18" s="155" t="n"/>
      <c r="L18" s="89" t="n"/>
      <c r="M18" s="89" t="n"/>
      <c r="N18" s="89" t="n"/>
      <c r="O18" s="89" t="n"/>
      <c r="P18" s="89" t="n"/>
      <c r="Q18" s="90" t="n"/>
    </row>
    <row r="19">
      <c r="A19" s="28" t="n">
        <v>2</v>
      </c>
      <c r="B19" s="29" t="inlineStr">
        <is>
          <t>G.P.Name</t>
        </is>
      </c>
      <c r="C19" s="149" t="n"/>
      <c r="D19" s="89" t="n"/>
      <c r="E19" s="90" t="n"/>
      <c r="F19" s="28" t="n"/>
      <c r="G19" s="29" t="inlineStr">
        <is>
          <t>Taluka</t>
        </is>
      </c>
      <c r="H19" s="149" t="n"/>
      <c r="I19" s="89" t="n"/>
      <c r="J19" s="90" t="n"/>
      <c r="K19" s="28" t="n">
        <v>4</v>
      </c>
      <c r="L19" s="150" t="inlineStr">
        <is>
          <t>District Name</t>
        </is>
      </c>
      <c r="M19" s="89" t="n"/>
      <c r="N19" s="90" t="n"/>
      <c r="O19" s="148" t="n"/>
      <c r="P19" s="89" t="n"/>
      <c r="Q19" s="90" t="n"/>
    </row>
    <row r="20">
      <c r="A20" s="28" t="n">
        <v>5</v>
      </c>
      <c r="B20" s="150" t="inlineStr">
        <is>
          <t>Distance and Direction of Village from Water Supply Well</t>
        </is>
      </c>
      <c r="C20" s="89" t="n"/>
      <c r="D20" s="89" t="n"/>
      <c r="E20" s="89" t="n"/>
      <c r="F20" s="89" t="n"/>
      <c r="G20" s="89" t="n"/>
      <c r="H20" s="89" t="n"/>
      <c r="I20" s="89" t="n"/>
      <c r="J20" s="90" t="n"/>
      <c r="K20" s="155" t="n"/>
      <c r="L20" s="89" t="n"/>
      <c r="M20" s="89" t="n"/>
      <c r="N20" s="89" t="n"/>
      <c r="O20" s="89" t="n"/>
      <c r="P20" s="89" t="n"/>
      <c r="Q20" s="90" t="n"/>
    </row>
    <row r="21">
      <c r="A21" s="28" t="n">
        <v>6</v>
      </c>
      <c r="B21" s="150" t="inlineStr">
        <is>
          <t>Storage Capacity of ESR/GSR (Cum)</t>
        </is>
      </c>
      <c r="C21" s="89" t="n"/>
      <c r="D21" s="89" t="n"/>
      <c r="E21" s="89" t="n"/>
      <c r="F21" s="89" t="n"/>
      <c r="G21" s="89" t="n"/>
      <c r="H21" s="89" t="n"/>
      <c r="I21" s="89" t="n"/>
      <c r="J21" s="90" t="n"/>
      <c r="K21" s="152">
        <f>(((G22*1.28)*55)/1000)/2</f>
        <v/>
      </c>
      <c r="L21" s="89" t="n"/>
      <c r="M21" s="89" t="n"/>
      <c r="N21" s="89" t="n"/>
      <c r="O21" s="89" t="n"/>
      <c r="P21" s="89" t="n"/>
      <c r="Q21" s="90" t="n"/>
    </row>
    <row r="22">
      <c r="A22" s="28" t="n">
        <v>7</v>
      </c>
      <c r="B22" s="150" t="inlineStr">
        <is>
          <t xml:space="preserve">Population covered </t>
        </is>
      </c>
      <c r="C22" s="89" t="n"/>
      <c r="D22" s="89" t="n"/>
      <c r="E22" s="89" t="n"/>
      <c r="F22" s="90" t="n"/>
      <c r="G22" s="43" t="n"/>
      <c r="H22" s="148" t="inlineStr">
        <is>
          <t>Water requirement in m3per day (@55 lpcd)</t>
        </is>
      </c>
      <c r="I22" s="89" t="n"/>
      <c r="J22" s="89" t="n"/>
      <c r="K22" s="89" t="n"/>
      <c r="L22" s="89" t="n"/>
      <c r="M22" s="89" t="n"/>
      <c r="N22" s="90" t="n"/>
      <c r="O22" s="146">
        <f>((G22*1.28)*55)/1000</f>
        <v/>
      </c>
      <c r="P22" s="89" t="n"/>
      <c r="Q22" s="90" t="n"/>
      <c r="R22">
        <f>G22*1.28</f>
        <v/>
      </c>
    </row>
    <row r="23">
      <c r="A23" s="28" t="n">
        <v>8</v>
      </c>
      <c r="B23" s="150" t="inlineStr">
        <is>
          <t xml:space="preserve">Cattles covered </t>
        </is>
      </c>
      <c r="C23" s="89" t="n"/>
      <c r="D23" s="89" t="n"/>
      <c r="E23" s="89" t="n"/>
      <c r="F23" s="90" t="n"/>
      <c r="G23" s="29">
        <f>G22*0.2</f>
        <v/>
      </c>
      <c r="H23" s="148" t="inlineStr">
        <is>
          <t>Water requirement in m3per day (@30 lpcd)</t>
        </is>
      </c>
      <c r="I23" s="89" t="n"/>
      <c r="J23" s="89" t="n"/>
      <c r="K23" s="89" t="n"/>
      <c r="L23" s="89" t="n"/>
      <c r="M23" s="89" t="n"/>
      <c r="N23" s="90" t="n"/>
      <c r="O23" s="146">
        <f>(G23*30)/1000</f>
        <v/>
      </c>
      <c r="P23" s="89" t="n"/>
      <c r="Q23" s="90" t="n"/>
    </row>
    <row r="24">
      <c r="A24" s="28" t="n">
        <v>9</v>
      </c>
      <c r="B24" s="150" t="inlineStr">
        <is>
          <t>Status of Use(Perennial/Seasonal(mention month upto which it sustains)</t>
        </is>
      </c>
      <c r="C24" s="89" t="n"/>
      <c r="D24" s="89" t="n"/>
      <c r="E24" s="89" t="n"/>
      <c r="F24" s="89" t="n"/>
      <c r="G24" s="89" t="n"/>
      <c r="H24" s="89" t="n"/>
      <c r="I24" s="89" t="n"/>
      <c r="J24" s="90" t="n"/>
      <c r="K24" s="150" t="inlineStr">
        <is>
          <t>Perennial</t>
        </is>
      </c>
      <c r="L24" s="89" t="n"/>
      <c r="M24" s="89" t="n"/>
      <c r="N24" s="89" t="n"/>
      <c r="O24" s="89" t="n"/>
      <c r="P24" s="89" t="n"/>
      <c r="Q24" s="90" t="n"/>
    </row>
    <row r="25">
      <c r="A25" s="28" t="n">
        <v>10</v>
      </c>
      <c r="B25" s="150" t="inlineStr">
        <is>
          <t>Dependency of Source (in %) If not 100% mention other means of supply</t>
        </is>
      </c>
      <c r="C25" s="89" t="n"/>
      <c r="D25" s="89" t="n"/>
      <c r="E25" s="89" t="n"/>
      <c r="F25" s="89" t="n"/>
      <c r="G25" s="89" t="n"/>
      <c r="H25" s="89" t="n"/>
      <c r="I25" s="89" t="n"/>
      <c r="J25" s="90" t="n"/>
      <c r="K25" s="153" t="n">
        <v>1</v>
      </c>
      <c r="L25" s="89" t="n"/>
      <c r="M25" s="89" t="n"/>
      <c r="N25" s="89" t="n"/>
      <c r="O25" s="89" t="n"/>
      <c r="P25" s="89" t="n"/>
      <c r="Q25" s="90" t="n"/>
    </row>
    <row r="26">
      <c r="A26" s="28" t="n">
        <v>11</v>
      </c>
      <c r="B26" s="150" t="inlineStr">
        <is>
          <t>Quality of water (Potable/Non potable)(R)</t>
        </is>
      </c>
      <c r="C26" s="89" t="n"/>
      <c r="D26" s="89" t="n"/>
      <c r="E26" s="89" t="n"/>
      <c r="F26" s="89" t="n"/>
      <c r="G26" s="89" t="n"/>
      <c r="H26" s="89" t="n"/>
      <c r="I26" s="89" t="n"/>
      <c r="J26" s="90" t="n"/>
      <c r="K26" s="150" t="inlineStr">
        <is>
          <t>Potable</t>
        </is>
      </c>
      <c r="L26" s="89" t="n"/>
      <c r="M26" s="89" t="n"/>
      <c r="N26" s="89" t="n"/>
      <c r="O26" s="89" t="n"/>
      <c r="P26" s="89" t="n"/>
      <c r="Q26" s="90" t="n"/>
    </row>
    <row r="27">
      <c r="A27" s="50" t="inlineStr">
        <is>
          <t>B2</t>
        </is>
      </c>
      <c r="B27" s="151" t="inlineStr">
        <is>
          <t>Industry Water Supply Details (Applicable for Industrial Well)</t>
        </is>
      </c>
      <c r="C27" s="89" t="n"/>
      <c r="D27" s="89" t="n"/>
      <c r="E27" s="89" t="n"/>
      <c r="F27" s="89" t="n"/>
      <c r="G27" s="89" t="n"/>
      <c r="H27" s="89" t="n"/>
      <c r="I27" s="89" t="n"/>
      <c r="J27" s="89" t="n"/>
      <c r="K27" s="89" t="n"/>
      <c r="L27" s="89" t="n"/>
      <c r="M27" s="89" t="n"/>
      <c r="N27" s="89" t="n"/>
      <c r="O27" s="89" t="n"/>
      <c r="P27" s="89" t="n"/>
      <c r="Q27" s="90" t="n"/>
    </row>
    <row r="28">
      <c r="A28" s="28" t="n">
        <v>1</v>
      </c>
      <c r="B28" s="150" t="inlineStr">
        <is>
          <t>Name of Industry to which water is supplied (Owner of Well)</t>
        </is>
      </c>
      <c r="C28" s="89" t="n"/>
      <c r="D28" s="89" t="n"/>
      <c r="E28" s="89" t="n"/>
      <c r="F28" s="89" t="n"/>
      <c r="G28" s="89" t="n"/>
      <c r="H28" s="89" t="n"/>
      <c r="I28" s="89" t="n"/>
      <c r="J28" s="90" t="n"/>
      <c r="K28" s="148" t="inlineStr">
        <is>
          <t>-</t>
        </is>
      </c>
      <c r="L28" s="89" t="n"/>
      <c r="M28" s="89" t="n"/>
      <c r="N28" s="89" t="n"/>
      <c r="O28" s="89" t="n"/>
      <c r="P28" s="89" t="n"/>
      <c r="Q28" s="90" t="n"/>
    </row>
    <row r="29">
      <c r="A29" s="28" t="n">
        <v>2</v>
      </c>
      <c r="B29" s="150" t="inlineStr">
        <is>
          <t>Distance and Direction of Industry from Water Supply Well</t>
        </is>
      </c>
      <c r="C29" s="89" t="n"/>
      <c r="D29" s="89" t="n"/>
      <c r="E29" s="89" t="n"/>
      <c r="F29" s="89" t="n"/>
      <c r="G29" s="89" t="n"/>
      <c r="H29" s="89" t="n"/>
      <c r="I29" s="89" t="n"/>
      <c r="J29" s="90" t="n"/>
      <c r="K29" s="148" t="inlineStr">
        <is>
          <t>-</t>
        </is>
      </c>
      <c r="L29" s="89" t="n"/>
      <c r="M29" s="89" t="n"/>
      <c r="N29" s="89" t="n"/>
      <c r="O29" s="89" t="n"/>
      <c r="P29" s="89" t="n"/>
      <c r="Q29" s="90" t="n"/>
    </row>
    <row r="30">
      <c r="A30" s="28" t="n">
        <v>3</v>
      </c>
      <c r="B30" s="150" t="inlineStr">
        <is>
          <t>Storage Capacity of ESR/GSR (Cum)</t>
        </is>
      </c>
      <c r="C30" s="89" t="n"/>
      <c r="D30" s="89" t="n"/>
      <c r="E30" s="89" t="n"/>
      <c r="F30" s="89" t="n"/>
      <c r="G30" s="89" t="n"/>
      <c r="H30" s="89" t="n"/>
      <c r="I30" s="89" t="n"/>
      <c r="J30" s="90" t="n"/>
      <c r="K30" s="148" t="inlineStr">
        <is>
          <t>-</t>
        </is>
      </c>
      <c r="L30" s="89" t="n"/>
      <c r="M30" s="89" t="n"/>
      <c r="N30" s="89" t="n"/>
      <c r="O30" s="89" t="n"/>
      <c r="P30" s="89" t="n"/>
      <c r="Q30" s="90" t="n"/>
    </row>
    <row r="31">
      <c r="A31" s="28" t="n">
        <v>4</v>
      </c>
      <c r="B31" s="150" t="inlineStr">
        <is>
          <t>Use of water for (Drinking/Industrial/Other)</t>
        </is>
      </c>
      <c r="C31" s="89" t="n"/>
      <c r="D31" s="89" t="n"/>
      <c r="E31" s="89" t="n"/>
      <c r="F31" s="89" t="n"/>
      <c r="G31" s="89" t="n"/>
      <c r="H31" s="89" t="n"/>
      <c r="I31" s="89" t="n"/>
      <c r="J31" s="90" t="n"/>
      <c r="K31" s="148" t="inlineStr">
        <is>
          <t>-</t>
        </is>
      </c>
      <c r="L31" s="89" t="n"/>
      <c r="M31" s="89" t="n"/>
      <c r="N31" s="89" t="n"/>
      <c r="O31" s="89" t="n"/>
      <c r="P31" s="89" t="n"/>
      <c r="Q31" s="90" t="n"/>
    </row>
    <row r="32">
      <c r="A32" s="28" t="n">
        <v>5</v>
      </c>
      <c r="B32" s="150" t="inlineStr">
        <is>
          <t xml:space="preserve">Water utilisation/Requirement  in m3per day </t>
        </is>
      </c>
      <c r="C32" s="89" t="n"/>
      <c r="D32" s="89" t="n"/>
      <c r="E32" s="89" t="n"/>
      <c r="F32" s="89" t="n"/>
      <c r="G32" s="89" t="n"/>
      <c r="H32" s="89" t="n"/>
      <c r="I32" s="89" t="n"/>
      <c r="J32" s="90" t="n"/>
      <c r="K32" s="148" t="inlineStr">
        <is>
          <t>-</t>
        </is>
      </c>
      <c r="L32" s="89" t="n"/>
      <c r="M32" s="89" t="n"/>
      <c r="N32" s="89" t="n"/>
      <c r="O32" s="89" t="n"/>
      <c r="P32" s="89" t="n"/>
      <c r="Q32" s="90" t="n"/>
    </row>
    <row r="33">
      <c r="A33" s="28" t="n">
        <v>6</v>
      </c>
      <c r="B33" s="150" t="inlineStr">
        <is>
          <t>Status of Use(Perennial/Seasonal(mention month upto which it sustains)</t>
        </is>
      </c>
      <c r="C33" s="89" t="n"/>
      <c r="D33" s="89" t="n"/>
      <c r="E33" s="89" t="n"/>
      <c r="F33" s="89" t="n"/>
      <c r="G33" s="89" t="n"/>
      <c r="H33" s="89" t="n"/>
      <c r="I33" s="89" t="n"/>
      <c r="J33" s="90" t="n"/>
      <c r="K33" s="148" t="inlineStr">
        <is>
          <t>-</t>
        </is>
      </c>
      <c r="L33" s="89" t="n"/>
      <c r="M33" s="89" t="n"/>
      <c r="N33" s="89" t="n"/>
      <c r="O33" s="89" t="n"/>
      <c r="P33" s="89" t="n"/>
      <c r="Q33" s="90" t="n"/>
    </row>
    <row r="34">
      <c r="A34" s="28" t="n">
        <v>7</v>
      </c>
      <c r="B34" s="150" t="inlineStr">
        <is>
          <t>Quality of water (Potable/Non potable)(R)</t>
        </is>
      </c>
      <c r="C34" s="89" t="n"/>
      <c r="D34" s="89" t="n"/>
      <c r="E34" s="89" t="n"/>
      <c r="F34" s="89" t="n"/>
      <c r="G34" s="89" t="n"/>
      <c r="H34" s="89" t="n"/>
      <c r="I34" s="89" t="n"/>
      <c r="J34" s="90" t="n"/>
      <c r="K34" s="148" t="inlineStr">
        <is>
          <t>-</t>
        </is>
      </c>
      <c r="L34" s="89" t="n"/>
      <c r="M34" s="89" t="n"/>
      <c r="N34" s="89" t="n"/>
      <c r="O34" s="89" t="n"/>
      <c r="P34" s="89" t="n"/>
      <c r="Q34" s="90" t="n"/>
    </row>
    <row r="35">
      <c r="A35" s="12" t="inlineStr">
        <is>
          <t>C</t>
        </is>
      </c>
      <c r="B35" s="98" t="inlineStr">
        <is>
          <t>Well Dimensions :</t>
        </is>
      </c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  <c r="P35" s="89" t="n"/>
      <c r="Q35" s="90" t="n"/>
    </row>
    <row r="36" ht="22.5" customHeight="1" s="120">
      <c r="A36" s="9" t="n">
        <v>1</v>
      </c>
      <c r="B36" s="102" t="inlineStr">
        <is>
          <t>Measurement point (MP) (e.g. on GL/Parapet due N40</t>
        </is>
      </c>
      <c r="C36" s="89" t="n"/>
      <c r="D36" s="89" t="n"/>
      <c r="E36" s="89" t="n"/>
      <c r="F36" s="89" t="n"/>
      <c r="G36" s="90" t="n"/>
      <c r="H36" s="97" t="n"/>
      <c r="I36" s="89" t="n"/>
      <c r="J36" s="90" t="n"/>
      <c r="K36" s="102" t="n">
        <v>2</v>
      </c>
      <c r="L36" s="106" t="inlineStr">
        <is>
          <t>Height of Parapet (m.bgl)</t>
        </is>
      </c>
      <c r="M36" s="89" t="n"/>
      <c r="N36" s="89" t="n"/>
      <c r="O36" s="90" t="n"/>
      <c r="P36" s="100" t="n"/>
      <c r="Q36" s="90" t="n"/>
    </row>
    <row r="37" ht="22.5" customHeight="1" s="120">
      <c r="A37" s="9" t="n">
        <v>3</v>
      </c>
      <c r="B37" s="102" t="inlineStr">
        <is>
          <t>Inner Diameter of Dug Well (DW) in m.</t>
        </is>
      </c>
      <c r="C37" s="89" t="n"/>
      <c r="D37" s="89" t="n"/>
      <c r="E37" s="89" t="n"/>
      <c r="F37" s="89" t="n"/>
      <c r="G37" s="90" t="n"/>
      <c r="H37" s="102" t="inlineStr">
        <is>
          <t>Top</t>
        </is>
      </c>
      <c r="I37" s="100" t="n"/>
      <c r="J37" s="90" t="n"/>
      <c r="K37" s="102" t="inlineStr">
        <is>
          <t>Bottom</t>
        </is>
      </c>
      <c r="L37" s="90" t="n"/>
      <c r="M37" s="101" t="n"/>
      <c r="N37" s="90" t="n"/>
      <c r="O37" s="106" t="inlineStr">
        <is>
          <t>Effective</t>
        </is>
      </c>
      <c r="P37" s="90" t="n"/>
      <c r="Q37" s="14" t="n"/>
    </row>
    <row r="38" ht="22.5" customHeight="1" s="120">
      <c r="A38" s="9" t="n">
        <v>4</v>
      </c>
      <c r="B38" s="102" t="inlineStr">
        <is>
          <t>Lining/Curbing Material (Brick/RCC/Stone pitching</t>
        </is>
      </c>
      <c r="C38" s="89" t="n"/>
      <c r="D38" s="89" t="n"/>
      <c r="E38" s="89" t="n"/>
      <c r="F38" s="89" t="n"/>
      <c r="G38" s="90" t="n"/>
      <c r="H38" s="97" t="n"/>
      <c r="I38" s="89" t="n"/>
      <c r="J38" s="90" t="n"/>
      <c r="K38" s="102" t="n">
        <v>5</v>
      </c>
      <c r="L38" s="102" t="inlineStr">
        <is>
          <t>Depth of Lining (m.bgl)</t>
        </is>
      </c>
      <c r="M38" s="89" t="n"/>
      <c r="N38" s="89" t="n"/>
      <c r="O38" s="90" t="n"/>
      <c r="P38" s="100" t="n"/>
      <c r="Q38" s="90" t="n"/>
    </row>
    <row r="39" ht="22.5" customHeight="1" s="120">
      <c r="A39" s="15" t="n">
        <v>6</v>
      </c>
      <c r="B39" s="102" t="inlineStr">
        <is>
          <t>Condition of Well and Lining</t>
        </is>
      </c>
      <c r="C39" s="89" t="n"/>
      <c r="D39" s="89" t="n"/>
      <c r="E39" s="89" t="n"/>
      <c r="F39" s="90" t="n"/>
      <c r="G39" s="122" t="n"/>
      <c r="H39" s="89" t="n"/>
      <c r="I39" s="89" t="n"/>
      <c r="J39" s="90" t="n"/>
      <c r="K39" s="102" t="n">
        <v>7</v>
      </c>
      <c r="L39" s="102" t="inlineStr">
        <is>
          <t>Year of Construction</t>
        </is>
      </c>
      <c r="M39" s="89" t="n"/>
      <c r="N39" s="89" t="n"/>
      <c r="O39" s="90" t="n"/>
      <c r="P39" s="122" t="n"/>
      <c r="Q39" s="90" t="n"/>
    </row>
    <row r="40" ht="22.5" customHeight="1" s="120">
      <c r="A40" s="15" t="n">
        <v>8</v>
      </c>
      <c r="B40" s="102" t="inlineStr">
        <is>
          <t>Depth of Dug Well (DW) m.bgl</t>
        </is>
      </c>
      <c r="C40" s="89" t="n"/>
      <c r="D40" s="89" t="n"/>
      <c r="E40" s="90" t="n"/>
      <c r="F40" s="100" t="n"/>
      <c r="G40" s="90" t="n"/>
      <c r="H40" s="102" t="n">
        <v>18</v>
      </c>
      <c r="I40" s="102" t="inlineStr">
        <is>
          <t>Depth of Inwell Borehole from bottom of well (m)</t>
        </is>
      </c>
      <c r="J40" s="89" t="n"/>
      <c r="K40" s="89" t="n"/>
      <c r="L40" s="89" t="n"/>
      <c r="M40" s="89" t="n"/>
      <c r="N40" s="89" t="n"/>
      <c r="O40" s="90" t="n"/>
      <c r="P40" s="106" t="inlineStr">
        <is>
          <t>-</t>
        </is>
      </c>
      <c r="Q40" s="90" t="n"/>
    </row>
    <row r="41" ht="22.5" customHeight="1" s="120">
      <c r="A41" s="15" t="n">
        <v>10</v>
      </c>
      <c r="B41" s="102" t="inlineStr">
        <is>
          <t>Total Depth of Dug Cum Borewell (=Depth of DW+Depth of Inwell Borehole) if Applicable (in m.bgl)</t>
        </is>
      </c>
      <c r="C41" s="89" t="n"/>
      <c r="D41" s="89" t="n"/>
      <c r="E41" s="89" t="n"/>
      <c r="F41" s="89" t="n"/>
      <c r="G41" s="89" t="n"/>
      <c r="H41" s="89" t="n"/>
      <c r="I41" s="89" t="n"/>
      <c r="J41" s="89" t="n"/>
      <c r="K41" s="89" t="n"/>
      <c r="L41" s="89" t="n"/>
      <c r="M41" s="89" t="n"/>
      <c r="N41" s="89" t="n"/>
      <c r="O41" s="90" t="n"/>
      <c r="P41" s="106" t="inlineStr">
        <is>
          <t>-</t>
        </is>
      </c>
      <c r="Q41" s="90" t="n"/>
    </row>
    <row r="42" customFormat="1" s="1">
      <c r="A42" s="16" t="inlineStr">
        <is>
          <t>D</t>
        </is>
      </c>
      <c r="B42" s="98" t="inlineStr">
        <is>
          <t>Groundwater level and Pumping details</t>
        </is>
      </c>
      <c r="C42" s="89" t="n"/>
      <c r="D42" s="89" t="n"/>
      <c r="E42" s="89" t="n"/>
      <c r="F42" s="89" t="n"/>
      <c r="G42" s="89" t="n"/>
      <c r="H42" s="89" t="n"/>
      <c r="I42" s="89" t="n"/>
      <c r="J42" s="89" t="n"/>
      <c r="K42" s="89" t="n"/>
      <c r="L42" s="89" t="n"/>
      <c r="M42" s="89" t="n"/>
      <c r="N42" s="89" t="n"/>
      <c r="O42" s="89" t="n"/>
      <c r="P42" s="89" t="n"/>
      <c r="Q42" s="90" t="n"/>
    </row>
    <row r="43" ht="26.25" customHeight="1" s="120">
      <c r="A43" s="15" t="n">
        <v>1</v>
      </c>
      <c r="B43" s="107" t="inlineStr">
        <is>
          <t>Pump type (Monoblock/Open well submersible)</t>
        </is>
      </c>
      <c r="C43" s="89" t="n"/>
      <c r="D43" s="89" t="n"/>
      <c r="E43" s="89" t="n"/>
      <c r="F43" s="90" t="n"/>
      <c r="G43" s="97" t="n"/>
      <c r="H43" s="89" t="n"/>
      <c r="I43" s="90" t="n"/>
      <c r="J43" s="102" t="n">
        <v>2</v>
      </c>
      <c r="K43" s="102" t="inlineStr">
        <is>
          <t>Mode of Power (Electric/Solar)</t>
        </is>
      </c>
      <c r="L43" s="89" t="n"/>
      <c r="M43" s="89" t="n"/>
      <c r="N43" s="89" t="n"/>
      <c r="O43" s="90" t="n"/>
      <c r="P43" s="97" t="n"/>
      <c r="Q43" s="90" t="n"/>
    </row>
    <row r="44" ht="21" customHeight="1" s="120">
      <c r="A44" s="15" t="n">
        <v>3</v>
      </c>
      <c r="B44" s="102" t="inlineStr">
        <is>
          <t>HP of pump</t>
        </is>
      </c>
      <c r="C44" s="90" t="n"/>
      <c r="D44" s="124" t="n"/>
      <c r="E44" s="90" t="n"/>
      <c r="F44" s="102" t="n">
        <v>4</v>
      </c>
      <c r="G44" s="102" t="n"/>
      <c r="H44" s="102" t="inlineStr">
        <is>
          <t>Winter</t>
        </is>
      </c>
      <c r="I44" s="90" t="n"/>
      <c r="J44" s="101" t="n"/>
      <c r="K44" s="90" t="n"/>
      <c r="L44" s="102" t="inlineStr">
        <is>
          <t>m.bgl</t>
        </is>
      </c>
      <c r="M44" s="102" t="inlineStr">
        <is>
          <t>Summer</t>
        </is>
      </c>
      <c r="N44" s="90" t="n"/>
      <c r="O44" s="101" t="n"/>
      <c r="P44" s="90" t="n"/>
      <c r="Q44" s="102" t="inlineStr">
        <is>
          <t>m.bgl</t>
        </is>
      </c>
    </row>
    <row r="45" ht="21" customHeight="1" s="120">
      <c r="A45" s="15" t="n">
        <v>5</v>
      </c>
      <c r="B45" s="102" t="inlineStr">
        <is>
          <t>Depth of pump inlet</t>
        </is>
      </c>
      <c r="C45" s="89" t="n"/>
      <c r="D45" s="89" t="n"/>
      <c r="E45" s="89" t="n"/>
      <c r="F45" s="89" t="n"/>
      <c r="G45" s="90" t="n"/>
      <c r="H45" s="102" t="inlineStr">
        <is>
          <t>Winter</t>
        </is>
      </c>
      <c r="I45" s="90" t="n"/>
      <c r="J45" s="101" t="n"/>
      <c r="K45" s="90" t="n"/>
      <c r="L45" s="102" t="inlineStr">
        <is>
          <t>m.bgl</t>
        </is>
      </c>
      <c r="M45" s="102" t="inlineStr">
        <is>
          <t>Summer</t>
        </is>
      </c>
      <c r="N45" s="90" t="n"/>
      <c r="O45" s="101" t="n"/>
      <c r="P45" s="90" t="n"/>
      <c r="Q45" s="102" t="inlineStr">
        <is>
          <t>m.bgl</t>
        </is>
      </c>
    </row>
    <row r="46" ht="21" customHeight="1" s="120">
      <c r="A46" s="15" t="n">
        <v>6</v>
      </c>
      <c r="B46" s="102" t="inlineStr">
        <is>
          <t>Diameter of Pipe(mm)</t>
        </is>
      </c>
      <c r="C46" s="90" t="n"/>
      <c r="D46" s="102" t="inlineStr">
        <is>
          <t>Suction pipe</t>
        </is>
      </c>
      <c r="E46" s="89" t="n"/>
      <c r="F46" s="90" t="n"/>
      <c r="G46" s="80" t="n">
        <v>50.5</v>
      </c>
      <c r="H46" s="102" t="inlineStr">
        <is>
          <t>Delivery pipe</t>
        </is>
      </c>
      <c r="I46" s="89" t="n"/>
      <c r="J46" s="90" t="n"/>
      <c r="K46" s="101" t="n">
        <v>63.5</v>
      </c>
      <c r="L46" s="90" t="n"/>
      <c r="M46" s="102" t="inlineStr">
        <is>
          <t>Delivery pipe material</t>
        </is>
      </c>
      <c r="N46" s="89" t="n"/>
      <c r="O46" s="90" t="n"/>
      <c r="P46" s="101" t="inlineStr">
        <is>
          <t>HDPE</t>
        </is>
      </c>
      <c r="Q46" s="90" t="n"/>
    </row>
    <row r="47" ht="21" customHeight="1" s="120">
      <c r="A47" s="15" t="n">
        <v>7</v>
      </c>
      <c r="B47" s="107" t="inlineStr">
        <is>
          <t>Pump discharge (m3/hour)</t>
        </is>
      </c>
      <c r="C47" s="89" t="n"/>
      <c r="D47" s="89" t="n"/>
      <c r="E47" s="89" t="n"/>
      <c r="F47" s="90" t="n"/>
      <c r="G47" s="106" t="n"/>
      <c r="H47" s="102" t="inlineStr">
        <is>
          <t>Method Used For Discharge measurement</t>
        </is>
      </c>
      <c r="I47" s="89" t="n"/>
      <c r="J47" s="89" t="n"/>
      <c r="K47" s="89" t="n"/>
      <c r="L47" s="89" t="n"/>
      <c r="M47" s="89" t="n"/>
      <c r="N47" s="90" t="n"/>
      <c r="O47" s="106" t="inlineStr">
        <is>
          <t>Adhoc</t>
        </is>
      </c>
      <c r="P47" s="89" t="n"/>
      <c r="Q47" s="90" t="n"/>
    </row>
    <row r="48" ht="26.25" customHeight="1" s="120">
      <c r="A48" s="15" t="n">
        <v>8</v>
      </c>
      <c r="B48" s="102" t="inlineStr">
        <is>
          <t>Depth to Pumped groundwater level (DWL)</t>
        </is>
      </c>
      <c r="C48" s="89" t="n"/>
      <c r="D48" s="89" t="n"/>
      <c r="E48" s="89" t="n"/>
      <c r="F48" s="90" t="n"/>
      <c r="G48" s="100" t="n"/>
      <c r="H48" s="102" t="inlineStr">
        <is>
          <t>m.bgl</t>
        </is>
      </c>
      <c r="I48" s="102" t="inlineStr">
        <is>
          <t>mention depth to groundwater level at the time of measurment)</t>
        </is>
      </c>
      <c r="J48" s="89" t="n"/>
      <c r="K48" s="89" t="n"/>
      <c r="L48" s="89" t="n"/>
      <c r="M48" s="89" t="n"/>
      <c r="N48" s="89" t="n"/>
      <c r="O48" s="89" t="n"/>
      <c r="P48" s="89" t="n"/>
      <c r="Q48" s="90" t="n"/>
    </row>
    <row r="49" ht="30" customHeight="1" s="120">
      <c r="A49" s="15" t="n">
        <v>9</v>
      </c>
      <c r="B49" s="107" t="inlineStr">
        <is>
          <t>Depth to Static groundwater level (SWL) (Reported R for previous season)</t>
        </is>
      </c>
      <c r="C49" s="89" t="n"/>
      <c r="D49" s="89" t="n"/>
      <c r="E49" s="89" t="n"/>
      <c r="F49" s="90" t="n"/>
      <c r="G49" s="102" t="inlineStr">
        <is>
          <t>Winter</t>
        </is>
      </c>
      <c r="H49" s="40" t="n"/>
      <c r="I49" s="102" t="inlineStr">
        <is>
          <t>m.bgl</t>
        </is>
      </c>
      <c r="J49" s="102" t="inlineStr">
        <is>
          <t>Summer</t>
        </is>
      </c>
      <c r="K49" s="90" t="n"/>
      <c r="L49" s="40" t="n"/>
      <c r="M49" s="102" t="inlineStr">
        <is>
          <t>m.bgl</t>
        </is>
      </c>
      <c r="N49" s="103" t="inlineStr">
        <is>
          <t>Annual Water Level fluctuation (m)</t>
        </is>
      </c>
      <c r="O49" s="89" t="n"/>
      <c r="P49" s="90" t="n"/>
      <c r="Q49" s="101">
        <f>L49-H49</f>
        <v/>
      </c>
    </row>
    <row r="50" ht="45" customHeight="1" s="120">
      <c r="A50" s="15" t="n">
        <v>10</v>
      </c>
      <c r="B50" s="102" t="inlineStr">
        <is>
          <t>Depth to Pumped groundwater level (PWL)</t>
        </is>
      </c>
      <c r="C50" s="89" t="n"/>
      <c r="D50" s="89" t="n"/>
      <c r="E50" s="89" t="n"/>
      <c r="F50" s="90" t="n"/>
      <c r="G50" s="102" t="inlineStr">
        <is>
          <t>Winter</t>
        </is>
      </c>
      <c r="H50" s="14" t="n"/>
      <c r="I50" s="102" t="inlineStr">
        <is>
          <t>m.bgl</t>
        </is>
      </c>
      <c r="J50" s="102" t="inlineStr">
        <is>
          <t>summer</t>
        </is>
      </c>
      <c r="K50" s="90" t="n"/>
      <c r="L50" s="38" t="n"/>
      <c r="M50" s="102" t="inlineStr">
        <is>
          <t>m.bgl</t>
        </is>
      </c>
      <c r="N50" s="107" t="inlineStr">
        <is>
          <t>(DWL just before pumping stopped) mention R if reported (e.g.10 (R))</t>
        </is>
      </c>
      <c r="O50" s="89" t="n"/>
      <c r="P50" s="89" t="n"/>
      <c r="Q50" s="90" t="n"/>
    </row>
    <row r="51">
      <c r="A51" s="15" t="n">
        <v>11</v>
      </c>
      <c r="B51" s="102" t="inlineStr">
        <is>
          <t>Drawdown (D/D) (PWL - SWL)</t>
        </is>
      </c>
      <c r="C51" s="89" t="n"/>
      <c r="D51" s="89" t="n"/>
      <c r="E51" s="89" t="n"/>
      <c r="F51" s="90" t="n"/>
      <c r="G51" s="102" t="inlineStr">
        <is>
          <t>Winter</t>
        </is>
      </c>
      <c r="H51" s="101" t="n"/>
      <c r="I51" s="90" t="n"/>
      <c r="J51" s="102" t="inlineStr">
        <is>
          <t>m.</t>
        </is>
      </c>
      <c r="K51" s="90" t="n"/>
      <c r="L51" s="102" t="inlineStr">
        <is>
          <t>Summer</t>
        </is>
      </c>
      <c r="M51" s="90" t="n"/>
      <c r="N51" s="101" t="n"/>
      <c r="O51" s="90" t="n"/>
      <c r="P51" s="102" t="inlineStr">
        <is>
          <t>m.</t>
        </is>
      </c>
      <c r="Q51" s="90" t="n"/>
    </row>
    <row r="52">
      <c r="A52" s="15" t="n">
        <v>12</v>
      </c>
      <c r="B52" s="102" t="inlineStr">
        <is>
          <t>Duration of Pumping</t>
        </is>
      </c>
      <c r="C52" s="89" t="n"/>
      <c r="D52" s="89" t="n"/>
      <c r="E52" s="89" t="n"/>
      <c r="F52" s="90" t="n"/>
      <c r="G52" s="102" t="inlineStr">
        <is>
          <t>Winter</t>
        </is>
      </c>
      <c r="H52" s="100" t="n"/>
      <c r="I52" s="90" t="n"/>
      <c r="J52" s="102" t="inlineStr">
        <is>
          <t>Hrs</t>
        </is>
      </c>
      <c r="K52" s="90" t="n"/>
      <c r="L52" s="102" t="inlineStr">
        <is>
          <t>Summer</t>
        </is>
      </c>
      <c r="M52" s="90" t="n"/>
      <c r="N52" s="100" t="n"/>
      <c r="O52" s="90" t="n"/>
      <c r="P52" s="102" t="inlineStr">
        <is>
          <t>Hrs</t>
        </is>
      </c>
      <c r="Q52" s="90" t="n"/>
    </row>
    <row r="53">
      <c r="A53" s="15" t="n">
        <v>13</v>
      </c>
      <c r="B53" s="102" t="inlineStr">
        <is>
          <t>Quantity of water pumped</t>
        </is>
      </c>
      <c r="C53" s="89" t="n"/>
      <c r="D53" s="89" t="n"/>
      <c r="E53" s="89" t="n"/>
      <c r="F53" s="90" t="n"/>
      <c r="G53" s="102" t="inlineStr">
        <is>
          <t>Winter</t>
        </is>
      </c>
      <c r="H53" s="101" t="n"/>
      <c r="I53" s="90" t="n"/>
      <c r="J53" s="102" t="inlineStr">
        <is>
          <t>M3</t>
        </is>
      </c>
      <c r="K53" s="90" t="n"/>
      <c r="L53" s="102" t="inlineStr">
        <is>
          <t>Summer</t>
        </is>
      </c>
      <c r="M53" s="90" t="n"/>
      <c r="N53" s="101" t="n"/>
      <c r="O53" s="90" t="n"/>
      <c r="P53" s="102" t="inlineStr">
        <is>
          <t>m3</t>
        </is>
      </c>
      <c r="Q53" s="90" t="n"/>
    </row>
    <row r="54">
      <c r="A54" s="15" t="n">
        <v>14</v>
      </c>
      <c r="B54" s="102" t="inlineStr">
        <is>
          <t>Volume of water Pumped from Storage</t>
        </is>
      </c>
      <c r="C54" s="89" t="n"/>
      <c r="D54" s="89" t="n"/>
      <c r="E54" s="89" t="n"/>
      <c r="F54" s="90" t="n"/>
      <c r="G54" s="102" t="inlineStr">
        <is>
          <t>Winter</t>
        </is>
      </c>
      <c r="H54" s="101" t="n"/>
      <c r="I54" s="90" t="n"/>
      <c r="J54" s="102" t="inlineStr">
        <is>
          <t>M3</t>
        </is>
      </c>
      <c r="K54" s="90" t="n"/>
      <c r="L54" s="102" t="inlineStr">
        <is>
          <t>Summer</t>
        </is>
      </c>
      <c r="M54" s="90" t="n"/>
      <c r="N54" s="101" t="n"/>
      <c r="O54" s="90" t="n"/>
      <c r="P54" s="102" t="inlineStr">
        <is>
          <t>m3</t>
        </is>
      </c>
      <c r="Q54" s="90" t="n"/>
    </row>
    <row r="55" ht="26.25" customHeight="1" s="120">
      <c r="A55" s="15" t="n">
        <v>15</v>
      </c>
      <c r="B55" s="102" t="inlineStr">
        <is>
          <t>Avg. Rate of Inflow during pumping</t>
        </is>
      </c>
      <c r="C55" s="89" t="n"/>
      <c r="D55" s="89" t="n"/>
      <c r="E55" s="89" t="n"/>
      <c r="F55" s="90" t="n"/>
      <c r="G55" s="102" t="inlineStr">
        <is>
          <t>Winter</t>
        </is>
      </c>
      <c r="H55" s="101" t="n"/>
      <c r="I55" s="90" t="n"/>
      <c r="J55" s="102" t="inlineStr">
        <is>
          <t>M3/Hr</t>
        </is>
      </c>
      <c r="K55" s="90" t="n"/>
      <c r="L55" s="102" t="inlineStr">
        <is>
          <t>Summer</t>
        </is>
      </c>
      <c r="M55" s="90" t="n"/>
      <c r="N55" s="101" t="n"/>
      <c r="O55" s="90" t="n"/>
      <c r="P55" s="102" t="inlineStr">
        <is>
          <t>M3/Hr</t>
        </is>
      </c>
      <c r="Q55" s="90" t="n"/>
    </row>
    <row r="56" ht="26.25" customHeight="1" s="120">
      <c r="A56" s="15" t="n">
        <v>16</v>
      </c>
      <c r="B56" s="102" t="inlineStr">
        <is>
          <t>Time required for complete recuperation</t>
        </is>
      </c>
      <c r="C56" s="89" t="n"/>
      <c r="D56" s="89" t="n"/>
      <c r="E56" s="89" t="n"/>
      <c r="F56" s="90" t="n"/>
      <c r="G56" s="102" t="inlineStr">
        <is>
          <t>Winter</t>
        </is>
      </c>
      <c r="H56" s="124" t="n"/>
      <c r="I56" s="90" t="n"/>
      <c r="J56" s="102" t="inlineStr">
        <is>
          <t>Hrs</t>
        </is>
      </c>
      <c r="K56" s="90" t="n"/>
      <c r="L56" s="102" t="inlineStr">
        <is>
          <t>Summer</t>
        </is>
      </c>
      <c r="M56" s="90" t="n"/>
      <c r="N56" s="124" t="n"/>
      <c r="O56" s="90" t="n"/>
      <c r="P56" s="102" t="inlineStr">
        <is>
          <t>Hrs</t>
        </is>
      </c>
      <c r="Q56" s="90" t="n"/>
    </row>
    <row r="57" customFormat="1" s="1">
      <c r="A57" s="16" t="inlineStr">
        <is>
          <t>E</t>
        </is>
      </c>
      <c r="B57" s="98" t="inlineStr">
        <is>
          <t>Well Performance</t>
        </is>
      </c>
      <c r="C57" s="89" t="n"/>
      <c r="D57" s="89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89" t="n"/>
      <c r="N57" s="89" t="n"/>
      <c r="O57" s="89" t="n"/>
      <c r="P57" s="89" t="n"/>
      <c r="Q57" s="90" t="n"/>
    </row>
    <row r="58" ht="46.5" customFormat="1" customHeight="1" s="2">
      <c r="A58" s="99" t="n"/>
      <c r="B58" s="99" t="inlineStr">
        <is>
          <t>Seasons</t>
        </is>
      </c>
      <c r="C58" s="89" t="n"/>
      <c r="D58" s="89" t="n"/>
      <c r="E58" s="89" t="n"/>
      <c r="F58" s="90" t="n"/>
      <c r="G58" s="126" t="inlineStr">
        <is>
          <t>Pump Discharge</t>
        </is>
      </c>
      <c r="H58" s="126" t="inlineStr">
        <is>
          <t>Pumping Hrs/Day</t>
        </is>
      </c>
      <c r="I58" s="90" t="n"/>
      <c r="J58" s="126" t="inlineStr">
        <is>
          <t>Operating Days</t>
        </is>
      </c>
      <c r="K58" s="90" t="n"/>
      <c r="L58" s="126" t="inlineStr">
        <is>
          <t>GW applied (M3)</t>
        </is>
      </c>
      <c r="M58" s="90" t="n"/>
      <c r="N58" s="126" t="inlineStr">
        <is>
          <t>GW applied (Ham)</t>
        </is>
      </c>
      <c r="O58" s="90" t="n"/>
      <c r="P58" s="102" t="n"/>
      <c r="Q58" s="116" t="n"/>
    </row>
    <row r="59">
      <c r="A59" s="51" t="n"/>
      <c r="B59" s="106" t="n">
        <v>1</v>
      </c>
      <c r="C59" s="89" t="n"/>
      <c r="D59" s="89" t="n"/>
      <c r="E59" s="89" t="n"/>
      <c r="F59" s="90" t="n"/>
      <c r="G59" s="106" t="n">
        <v>2</v>
      </c>
      <c r="H59" s="106" t="n">
        <v>3</v>
      </c>
      <c r="I59" s="90" t="n"/>
      <c r="J59" s="106" t="n">
        <v>4</v>
      </c>
      <c r="K59" s="90" t="n"/>
      <c r="L59" s="106" t="n">
        <v>5</v>
      </c>
      <c r="M59" s="90" t="n"/>
      <c r="N59" s="106" t="n">
        <v>6</v>
      </c>
      <c r="O59" s="90" t="n"/>
      <c r="P59" s="141" t="n"/>
      <c r="Q59" s="121" t="n"/>
    </row>
    <row r="60" ht="22.5" customHeight="1" s="120">
      <c r="A60" s="15" t="n">
        <v>1</v>
      </c>
      <c r="B60" s="102" t="inlineStr">
        <is>
          <t>Mid June-September (Rainy season)</t>
        </is>
      </c>
      <c r="C60" s="89" t="n"/>
      <c r="D60" s="89" t="n"/>
      <c r="E60" s="89" t="n"/>
      <c r="F60" s="90" t="n"/>
      <c r="G60" s="106" t="n"/>
      <c r="H60" s="101" t="n"/>
      <c r="I60" s="90" t="n"/>
      <c r="J60" s="147" t="n"/>
      <c r="K60" s="89" t="n"/>
      <c r="L60" s="101" t="n"/>
      <c r="M60" s="90" t="n"/>
      <c r="N60" s="108" t="n"/>
      <c r="O60" s="90" t="n"/>
      <c r="P60" s="141" t="n"/>
      <c r="Q60" s="121" t="n"/>
    </row>
    <row r="61" ht="22.5" customHeight="1" s="120">
      <c r="A61" s="15" t="n">
        <v>2</v>
      </c>
      <c r="B61" s="102" t="inlineStr">
        <is>
          <t>October-December (Winter)</t>
        </is>
      </c>
      <c r="C61" s="89" t="n"/>
      <c r="D61" s="89" t="n"/>
      <c r="E61" s="89" t="n"/>
      <c r="F61" s="90" t="n"/>
      <c r="G61" s="106" t="n"/>
      <c r="H61" s="101" t="n"/>
      <c r="I61" s="90" t="n"/>
      <c r="J61" s="147" t="n"/>
      <c r="K61" s="89" t="n"/>
      <c r="L61" s="101" t="n"/>
      <c r="M61" s="90" t="n"/>
      <c r="N61" s="108" t="n"/>
      <c r="O61" s="90" t="n"/>
      <c r="P61" s="141" t="n"/>
      <c r="Q61" s="121" t="n"/>
    </row>
    <row r="62" ht="22.5" customHeight="1" s="120">
      <c r="A62" s="15" t="n">
        <v>3</v>
      </c>
      <c r="B62" s="102" t="inlineStr">
        <is>
          <t>Rabbi (Jan-March)</t>
        </is>
      </c>
      <c r="C62" s="89" t="n"/>
      <c r="D62" s="89" t="n"/>
      <c r="E62" s="89" t="n"/>
      <c r="F62" s="90" t="n"/>
      <c r="G62" s="106" t="n"/>
      <c r="H62" s="101" t="n"/>
      <c r="I62" s="90" t="n"/>
      <c r="J62" s="147" t="n"/>
      <c r="K62" s="89" t="n"/>
      <c r="L62" s="101" t="n"/>
      <c r="M62" s="90" t="n"/>
      <c r="N62" s="108" t="n"/>
      <c r="O62" s="90" t="n"/>
      <c r="P62" s="141" t="n"/>
      <c r="Q62" s="121" t="n"/>
    </row>
    <row r="63" ht="22.5" customHeight="1" s="120">
      <c r="A63" s="15" t="n">
        <v>4</v>
      </c>
      <c r="B63" s="102" t="inlineStr">
        <is>
          <t>Summer (April-Mid June)</t>
        </is>
      </c>
      <c r="C63" s="89" t="n"/>
      <c r="D63" s="89" t="n"/>
      <c r="E63" s="89" t="n"/>
      <c r="F63" s="90" t="n"/>
      <c r="G63" s="106" t="n"/>
      <c r="H63" s="101" t="n"/>
      <c r="I63" s="90" t="n"/>
      <c r="J63" s="147" t="n"/>
      <c r="K63" s="89" t="n"/>
      <c r="L63" s="101" t="n"/>
      <c r="M63" s="90" t="n"/>
      <c r="N63" s="108" t="n"/>
      <c r="O63" s="90" t="n"/>
      <c r="P63" s="141" t="n"/>
      <c r="Q63" s="121" t="n"/>
    </row>
    <row r="64" ht="22.5" customHeight="1" s="120">
      <c r="A64" s="15" t="n"/>
      <c r="B64" s="102" t="n"/>
      <c r="C64" s="89" t="n"/>
      <c r="D64" s="89" t="n"/>
      <c r="E64" s="89" t="n"/>
      <c r="F64" s="90" t="n"/>
      <c r="G64" s="106" t="n"/>
      <c r="H64" s="106" t="n"/>
      <c r="I64" s="90" t="n"/>
      <c r="J64" s="130" t="n"/>
      <c r="K64" s="90" t="n"/>
      <c r="L64" s="101" t="n"/>
      <c r="M64" s="90" t="n"/>
      <c r="N64" s="108" t="n"/>
      <c r="O64" s="90" t="n"/>
      <c r="P64" s="117" t="n"/>
      <c r="Q64" s="118" t="n"/>
    </row>
    <row r="65">
      <c r="A65" s="16" t="inlineStr">
        <is>
          <t>F</t>
        </is>
      </c>
      <c r="B65" s="98" t="n"/>
      <c r="C65" s="90" t="n"/>
      <c r="D65" s="102" t="inlineStr">
        <is>
          <t>Deccan Trap</t>
        </is>
      </c>
      <c r="E65" s="89" t="n"/>
      <c r="F65" s="89" t="n"/>
      <c r="G65" s="89" t="n"/>
      <c r="H65" s="89" t="n"/>
      <c r="I65" s="89" t="n"/>
      <c r="J65" s="89" t="n"/>
      <c r="K65" s="90" t="n"/>
      <c r="L65" s="106" t="inlineStr">
        <is>
          <t>(Mention Name of Geological Formation)</t>
        </is>
      </c>
      <c r="M65" s="89" t="n"/>
      <c r="N65" s="89" t="n"/>
      <c r="O65" s="89" t="n"/>
      <c r="P65" s="89" t="n"/>
      <c r="Q65" s="90" t="n"/>
    </row>
    <row r="66" ht="24.75" customHeight="1" s="120">
      <c r="A66" s="15" t="n">
        <v>1</v>
      </c>
      <c r="B66" s="102" t="n"/>
      <c r="C66" s="106" t="inlineStr">
        <is>
          <t>Lithological section observed in well (w.r.t.G.L.)</t>
        </is>
      </c>
      <c r="D66" s="89" t="n"/>
      <c r="E66" s="89" t="n"/>
      <c r="F66" s="89" t="n"/>
      <c r="G66" s="89" t="n"/>
      <c r="H66" s="89" t="n"/>
      <c r="I66" s="90" t="n"/>
      <c r="J66" s="106" t="inlineStr">
        <is>
          <t>Sketctch of the well site</t>
        </is>
      </c>
      <c r="K66" s="89" t="n"/>
      <c r="L66" s="89" t="n"/>
      <c r="M66" s="89" t="n"/>
      <c r="N66" s="89" t="n"/>
      <c r="O66" s="89" t="n"/>
      <c r="P66" s="89" t="n"/>
      <c r="Q66" s="90" t="n"/>
    </row>
    <row r="67" ht="24.75" customHeight="1" s="120">
      <c r="A67" s="25" t="inlineStr">
        <is>
          <t>GL</t>
        </is>
      </c>
      <c r="B67" s="102" t="n"/>
      <c r="C67" s="123" t="inlineStr">
        <is>
          <t>Lithology</t>
        </is>
      </c>
      <c r="D67" s="89" t="n"/>
      <c r="E67" s="89" t="n"/>
      <c r="F67" s="89" t="n"/>
      <c r="G67" s="89" t="n"/>
      <c r="H67" s="89" t="n"/>
      <c r="I67" s="90" t="n"/>
      <c r="J67" s="106" t="inlineStr">
        <is>
          <t>(mention the direction of fractures/dyke/inflows, etc)</t>
        </is>
      </c>
      <c r="K67" s="89" t="n"/>
      <c r="L67" s="89" t="n"/>
      <c r="M67" s="89" t="n"/>
      <c r="N67" s="89" t="n"/>
      <c r="O67" s="89" t="n"/>
      <c r="P67" s="89" t="n"/>
      <c r="Q67" s="90" t="n"/>
    </row>
    <row r="68" ht="24.75" customHeight="1" s="120">
      <c r="A68" s="24" t="n">
        <v>0</v>
      </c>
      <c r="B68" s="23" t="n"/>
      <c r="C68" s="134" t="n"/>
      <c r="D68" s="96" t="n"/>
      <c r="E68" s="96" t="n"/>
      <c r="F68" s="96" t="n"/>
      <c r="G68" s="96" t="n"/>
      <c r="H68" s="96" t="n"/>
      <c r="I68" s="118" t="n"/>
      <c r="J68" s="102" t="n"/>
      <c r="K68" s="145" t="n"/>
      <c r="L68" s="145" t="n"/>
      <c r="M68" s="145" t="n"/>
      <c r="N68" s="145" t="n"/>
      <c r="O68" s="145" t="n"/>
      <c r="P68" s="145" t="n"/>
      <c r="Q68" s="116" t="n"/>
    </row>
    <row r="69" ht="24.75" customHeight="1" s="120" thickBot="1">
      <c r="A69" s="44" t="n"/>
      <c r="B69" s="46" t="n"/>
      <c r="C69" s="109" t="n"/>
      <c r="D69" s="110" t="n"/>
      <c r="E69" s="110" t="n"/>
      <c r="F69" s="110" t="n"/>
      <c r="G69" s="110" t="n"/>
      <c r="H69" s="110" t="n"/>
      <c r="I69" s="111" t="n"/>
      <c r="J69" s="141" t="n"/>
      <c r="Q69" s="121" t="n"/>
    </row>
    <row r="70" ht="24.75" customHeight="1" s="120" thickTop="1">
      <c r="A70" s="24" t="n"/>
      <c r="B70" s="23" t="n"/>
      <c r="C70" s="134" t="n"/>
      <c r="D70" s="96" t="n"/>
      <c r="E70" s="96" t="n"/>
      <c r="F70" s="96" t="n"/>
      <c r="G70" s="96" t="n"/>
      <c r="H70" s="96" t="n"/>
      <c r="I70" s="118" t="n"/>
      <c r="J70" s="141" t="n"/>
      <c r="Q70" s="121" t="n"/>
    </row>
    <row r="71" ht="24.75" customHeight="1" s="120" thickBot="1">
      <c r="A71" s="41" t="n"/>
      <c r="B71" s="47" t="n"/>
      <c r="C71" s="109" t="n"/>
      <c r="D71" s="110" t="n"/>
      <c r="E71" s="110" t="n"/>
      <c r="F71" s="110" t="n"/>
      <c r="G71" s="110" t="n"/>
      <c r="H71" s="110" t="n"/>
      <c r="I71" s="111" t="n"/>
      <c r="J71" s="141" t="n"/>
      <c r="Q71" s="121" t="n"/>
    </row>
    <row r="72" ht="24.75" customHeight="1" s="120" thickTop="1">
      <c r="A72" s="30" t="n"/>
      <c r="B72" s="23" t="n"/>
      <c r="C72" s="119" t="n"/>
      <c r="I72" s="121" t="n"/>
      <c r="J72" s="141" t="n"/>
      <c r="Q72" s="121" t="n"/>
    </row>
    <row r="73" ht="24.75" customHeight="1" s="120" thickBot="1">
      <c r="A73" s="41" t="n"/>
      <c r="B73" s="46" t="n"/>
      <c r="C73" s="109" t="n"/>
      <c r="D73" s="110" t="n"/>
      <c r="E73" s="110" t="n"/>
      <c r="F73" s="110" t="n"/>
      <c r="G73" s="110" t="n"/>
      <c r="H73" s="110" t="n"/>
      <c r="I73" s="111" t="n"/>
      <c r="J73" s="141" t="n"/>
      <c r="Q73" s="121" t="n"/>
    </row>
    <row r="74" ht="24.75" customHeight="1" s="120" thickTop="1">
      <c r="A74" s="24" t="n"/>
      <c r="B74" s="23" t="n"/>
      <c r="C74" s="134" t="n"/>
      <c r="D74" s="96" t="n"/>
      <c r="E74" s="96" t="n"/>
      <c r="F74" s="96" t="n"/>
      <c r="G74" s="96" t="n"/>
      <c r="H74" s="96" t="n"/>
      <c r="I74" s="118" t="n"/>
      <c r="J74" s="141" t="n"/>
      <c r="Q74" s="121" t="n"/>
    </row>
    <row r="75" ht="24.75" customHeight="1" s="120" thickBot="1">
      <c r="A75" s="37" t="n"/>
      <c r="B75" s="46" t="n"/>
      <c r="C75" s="109" t="n"/>
      <c r="D75" s="110" t="n"/>
      <c r="E75" s="110" t="n"/>
      <c r="F75" s="110" t="n"/>
      <c r="G75" s="110" t="n"/>
      <c r="H75" s="110" t="n"/>
      <c r="I75" s="111" t="n"/>
      <c r="J75" s="141" t="n"/>
      <c r="Q75" s="121" t="n"/>
    </row>
    <row r="76" ht="24.75" customHeight="1" s="120" thickTop="1">
      <c r="A76" s="24" t="n"/>
      <c r="B76" s="23" t="n"/>
      <c r="C76" s="134" t="n"/>
      <c r="D76" s="96" t="n"/>
      <c r="E76" s="96" t="n"/>
      <c r="F76" s="96" t="n"/>
      <c r="G76" s="96" t="n"/>
      <c r="H76" s="96" t="n"/>
      <c r="I76" s="118" t="n"/>
      <c r="J76" s="141" t="n"/>
      <c r="Q76" s="121" t="n"/>
    </row>
    <row r="77" ht="24.75" customHeight="1" s="120" thickBot="1">
      <c r="A77" s="48" t="n"/>
      <c r="B77" s="49" t="n"/>
      <c r="C77" s="109" t="n"/>
      <c r="D77" s="110" t="n"/>
      <c r="E77" s="110" t="n"/>
      <c r="F77" s="110" t="n"/>
      <c r="G77" s="110" t="n"/>
      <c r="H77" s="110" t="n"/>
      <c r="I77" s="111" t="n"/>
      <c r="J77" s="141" t="n"/>
      <c r="Q77" s="121" t="n"/>
    </row>
    <row r="78" ht="24.75" customHeight="1" s="120" thickTop="1">
      <c r="A78" s="15" t="n"/>
      <c r="B78" s="102" t="n"/>
      <c r="C78" s="102" t="n"/>
      <c r="D78" s="89" t="n"/>
      <c r="E78" s="89" t="n"/>
      <c r="F78" s="89" t="n"/>
      <c r="G78" s="89" t="n"/>
      <c r="H78" s="89" t="n"/>
      <c r="I78" s="90" t="n"/>
      <c r="J78" s="141" t="n"/>
      <c r="Q78" s="121" t="n"/>
    </row>
    <row r="79" ht="24.75" customHeight="1" s="120">
      <c r="A79" s="15" t="n"/>
      <c r="B79" s="102" t="n"/>
      <c r="C79" s="102" t="n"/>
      <c r="D79" s="89" t="n"/>
      <c r="E79" s="89" t="n"/>
      <c r="F79" s="89" t="n"/>
      <c r="G79" s="89" t="n"/>
      <c r="H79" s="89" t="n"/>
      <c r="I79" s="90" t="n"/>
      <c r="J79" s="141" t="n"/>
      <c r="Q79" s="121" t="n"/>
    </row>
    <row r="80" ht="24.75" customHeight="1" s="120">
      <c r="A80" s="15" t="n"/>
      <c r="B80" s="102" t="n"/>
      <c r="C80" s="102" t="n"/>
      <c r="D80" s="89" t="n"/>
      <c r="E80" s="89" t="n"/>
      <c r="F80" s="89" t="n"/>
      <c r="G80" s="89" t="n"/>
      <c r="H80" s="89" t="n"/>
      <c r="I80" s="90" t="n"/>
      <c r="J80" s="141" t="n"/>
      <c r="Q80" s="121" t="n"/>
    </row>
    <row r="81" ht="24.75" customHeight="1" s="120">
      <c r="A81" s="15" t="n"/>
      <c r="B81" s="102" t="n"/>
      <c r="C81" s="102" t="n"/>
      <c r="D81" s="89" t="n"/>
      <c r="E81" s="89" t="n"/>
      <c r="F81" s="89" t="n"/>
      <c r="G81" s="89" t="n"/>
      <c r="H81" s="89" t="n"/>
      <c r="I81" s="90" t="n"/>
      <c r="J81" s="117" t="n"/>
      <c r="K81" s="96" t="n"/>
      <c r="L81" s="96" t="n"/>
      <c r="M81" s="96" t="n"/>
      <c r="N81" s="96" t="n"/>
      <c r="O81" s="96" t="n"/>
      <c r="P81" s="96" t="n"/>
      <c r="Q81" s="118" t="n"/>
    </row>
    <row r="82" ht="40" customHeight="1" s="120">
      <c r="A82" s="15" t="n">
        <v>20.4</v>
      </c>
      <c r="B82" s="136" t="inlineStr">
        <is>
          <t>Mention the Depth of Inflows observed in the Well (m.bgl)</t>
        </is>
      </c>
      <c r="C82" s="89" t="n"/>
      <c r="D82" s="89" t="n"/>
      <c r="E82" s="89" t="n"/>
      <c r="F82" s="89" t="n"/>
      <c r="G82" s="89" t="n"/>
      <c r="H82" s="89" t="n"/>
      <c r="I82" s="90" t="n"/>
      <c r="J82" s="101" t="n"/>
      <c r="K82" s="89" t="n"/>
      <c r="L82" s="89" t="n"/>
      <c r="M82" s="89" t="n"/>
      <c r="N82" s="89" t="n"/>
      <c r="O82" s="89" t="n"/>
      <c r="P82" s="89" t="n"/>
      <c r="Q82" s="90" t="n"/>
    </row>
    <row r="83" customFormat="1" s="1">
      <c r="A83" s="16" t="inlineStr">
        <is>
          <t>G</t>
        </is>
      </c>
      <c r="B83" s="98" t="inlineStr">
        <is>
          <t>Wells in nearest (up to 200 m) periphery :  No</t>
        </is>
      </c>
      <c r="C83" s="89" t="n"/>
      <c r="D83" s="89" t="n"/>
      <c r="E83" s="89" t="n"/>
      <c r="F83" s="89" t="n"/>
      <c r="G83" s="89" t="n"/>
      <c r="H83" s="89" t="n"/>
      <c r="I83" s="89" t="n"/>
      <c r="J83" s="89" t="n"/>
      <c r="K83" s="89" t="n"/>
      <c r="L83" s="89" t="n"/>
      <c r="M83" s="89" t="n"/>
      <c r="N83" s="89" t="n"/>
      <c r="O83" s="89" t="n"/>
      <c r="P83" s="89" t="n"/>
      <c r="Q83" s="90" t="n"/>
    </row>
    <row r="84" ht="39.75" customFormat="1" customHeight="1" s="3">
      <c r="A84" s="127" t="inlineStr">
        <is>
          <t>Sr.No.</t>
        </is>
      </c>
      <c r="B84" s="135" t="inlineStr">
        <is>
          <t>Well Type</t>
        </is>
      </c>
      <c r="C84" s="135" t="inlineStr">
        <is>
          <t>Use of well</t>
        </is>
      </c>
      <c r="D84" s="90" t="n"/>
      <c r="E84" s="127" t="inlineStr">
        <is>
          <t>Distance and direction from well in observation (say 50 m due N 50 E)</t>
        </is>
      </c>
      <c r="F84" s="89" t="n"/>
      <c r="G84" s="89" t="n"/>
      <c r="H84" s="89" t="n"/>
      <c r="I84" s="89" t="n"/>
      <c r="J84" s="90" t="n"/>
      <c r="K84" s="135" t="inlineStr">
        <is>
          <t>Name of owner</t>
        </is>
      </c>
      <c r="L84" s="89" t="n"/>
      <c r="M84" s="89" t="n"/>
      <c r="N84" s="89" t="n"/>
      <c r="O84" s="89" t="n"/>
      <c r="P84" s="89" t="n"/>
      <c r="Q84" s="90" t="n"/>
    </row>
    <row r="85">
      <c r="A85" s="15" t="n"/>
      <c r="B85" s="102" t="n"/>
      <c r="C85" s="102" t="n"/>
      <c r="D85" s="90" t="n"/>
      <c r="E85" s="31" t="n"/>
      <c r="F85" s="154" t="inlineStr">
        <is>
          <t>200m</t>
        </is>
      </c>
      <c r="G85" s="89" t="n"/>
      <c r="H85" s="157" t="n"/>
      <c r="I85" s="89" t="n"/>
      <c r="J85" s="90" t="n"/>
      <c r="K85" s="102" t="inlineStr">
        <is>
          <t>-</t>
        </is>
      </c>
      <c r="L85" s="89" t="n"/>
      <c r="M85" s="89" t="n"/>
      <c r="N85" s="89" t="n"/>
      <c r="O85" s="89" t="n"/>
      <c r="P85" s="89" t="n"/>
      <c r="Q85" s="90" t="n"/>
    </row>
    <row r="86">
      <c r="A86" s="15" t="n"/>
      <c r="B86" s="102" t="n"/>
      <c r="C86" s="102" t="n"/>
      <c r="D86" s="90" t="n"/>
      <c r="E86" s="102" t="n"/>
      <c r="F86" s="89" t="n"/>
      <c r="G86" s="89" t="n"/>
      <c r="H86" s="89" t="n"/>
      <c r="I86" s="89" t="n"/>
      <c r="J86" s="90" t="n"/>
      <c r="K86" s="102" t="n"/>
      <c r="L86" s="89" t="n"/>
      <c r="M86" s="89" t="n"/>
      <c r="N86" s="89" t="n"/>
      <c r="O86" s="89" t="n"/>
      <c r="P86" s="89" t="n"/>
      <c r="Q86" s="90" t="n"/>
    </row>
    <row r="87">
      <c r="A87" s="15" t="n"/>
      <c r="B87" s="102" t="n"/>
      <c r="C87" s="102" t="n"/>
      <c r="D87" s="90" t="n"/>
      <c r="E87" s="102" t="n"/>
      <c r="F87" s="89" t="n"/>
      <c r="G87" s="89" t="n"/>
      <c r="H87" s="89" t="n"/>
      <c r="I87" s="89" t="n"/>
      <c r="J87" s="90" t="n"/>
      <c r="K87" s="102" t="n"/>
      <c r="L87" s="89" t="n"/>
      <c r="M87" s="89" t="n"/>
      <c r="N87" s="89" t="n"/>
      <c r="O87" s="89" t="n"/>
      <c r="P87" s="89" t="n"/>
      <c r="Q87" s="90" t="n"/>
    </row>
    <row r="88" ht="50.25" customHeight="1" s="120">
      <c r="A88" s="16" t="inlineStr">
        <is>
          <t>H</t>
        </is>
      </c>
      <c r="B88" s="139" t="inlineStr">
        <is>
          <t>Any other Observations and Recommendations</t>
        </is>
      </c>
      <c r="C88" s="90" t="n"/>
      <c r="D88" s="97" t="n"/>
      <c r="E88" s="89" t="n"/>
      <c r="F88" s="89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90" t="n"/>
    </row>
    <row r="89" ht="19.5" customHeight="1" s="120">
      <c r="A89" s="15" t="n">
        <v>1</v>
      </c>
      <c r="B89" s="102" t="inlineStr">
        <is>
          <t>Signature</t>
        </is>
      </c>
      <c r="C89" s="90" t="n"/>
      <c r="D89" s="102" t="n"/>
      <c r="E89" s="89" t="n"/>
      <c r="F89" s="89" t="n"/>
      <c r="G89" s="89" t="n"/>
      <c r="H89" s="89" t="n"/>
      <c r="I89" s="90" t="n"/>
      <c r="J89" s="102" t="n"/>
      <c r="K89" s="89" t="n"/>
      <c r="L89" s="89" t="n"/>
      <c r="M89" s="89" t="n"/>
      <c r="N89" s="89" t="n"/>
      <c r="O89" s="89" t="n"/>
      <c r="P89" s="89" t="n"/>
      <c r="Q89" s="90" t="n"/>
    </row>
    <row r="90">
      <c r="A90" s="15" t="n"/>
      <c r="B90" s="102" t="inlineStr">
        <is>
          <t>Name of Geologist</t>
        </is>
      </c>
      <c r="C90" s="90" t="n"/>
      <c r="D90" s="106" t="inlineStr">
        <is>
          <t>V.N. Nimbalkar</t>
        </is>
      </c>
      <c r="E90" s="89" t="n"/>
      <c r="F90" s="89" t="n"/>
      <c r="G90" s="89" t="n"/>
      <c r="H90" s="89" t="n"/>
      <c r="I90" s="90" t="n"/>
      <c r="J90" s="102" t="n"/>
      <c r="K90" s="89" t="n"/>
      <c r="L90" s="89" t="n"/>
      <c r="M90" s="89" t="n"/>
      <c r="N90" s="89" t="n"/>
      <c r="O90" s="89" t="n"/>
      <c r="P90" s="89" t="n"/>
      <c r="Q90" s="90" t="n"/>
    </row>
    <row r="91">
      <c r="A91" s="15" t="n"/>
      <c r="B91" s="102" t="n"/>
      <c r="C91" s="90" t="n"/>
      <c r="D91" s="106" t="inlineStr">
        <is>
          <t>(Reporting officer)</t>
        </is>
      </c>
      <c r="E91" s="89" t="n"/>
      <c r="F91" s="89" t="n"/>
      <c r="G91" s="89" t="n"/>
      <c r="H91" s="89" t="n"/>
      <c r="I91" s="90" t="n"/>
      <c r="J91" s="106" t="inlineStr">
        <is>
          <t>(Verifying officer-senior Geologist)</t>
        </is>
      </c>
      <c r="K91" s="89" t="n"/>
      <c r="L91" s="89" t="n"/>
      <c r="M91" s="89" t="n"/>
      <c r="N91" s="89" t="n"/>
      <c r="O91" s="89" t="n"/>
      <c r="P91" s="89" t="n"/>
      <c r="Q91" s="90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</row>
    <row r="94">
      <c r="A94" s="4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</row>
    <row r="95">
      <c r="A95" s="4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</row>
    <row r="96">
      <c r="A96" s="4" t="n"/>
      <c r="B96" s="5" t="n"/>
      <c r="C96" s="5" t="n"/>
      <c r="D96" s="5" t="n"/>
      <c r="E96" s="5" t="n"/>
      <c r="F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</row>
    <row r="97">
      <c r="A97" s="4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</row>
    <row r="98">
      <c r="A98" s="4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</row>
    <row r="99">
      <c r="A99" s="4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</row>
    <row r="100">
      <c r="A100" s="4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</row>
    <row r="101">
      <c r="A101" s="4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</row>
    <row r="102">
      <c r="A102" s="4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</row>
    <row r="103">
      <c r="A103" s="4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</row>
    <row r="104">
      <c r="A104" s="4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</row>
    <row r="105">
      <c r="A105" s="4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</row>
    <row r="106">
      <c r="A106" s="4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</row>
    <row r="107">
      <c r="A107" s="4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</row>
    <row r="108">
      <c r="A108" s="4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</row>
    <row r="109">
      <c r="A109" s="4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</row>
    <row r="110">
      <c r="A110" s="4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</row>
    <row r="111">
      <c r="A111" s="4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</row>
    <row r="112">
      <c r="A112" s="4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</row>
    <row r="113">
      <c r="A113" s="4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</row>
    <row r="114">
      <c r="A114" s="4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</row>
    <row r="115">
      <c r="A115" s="4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</row>
    <row r="116">
      <c r="A116" s="4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</row>
    <row r="117">
      <c r="A117" s="4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</row>
    <row r="118">
      <c r="A118" s="4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</row>
  </sheetData>
  <mergeCells count="263">
    <mergeCell ref="B91:C91"/>
    <mergeCell ref="B41:O41"/>
    <mergeCell ref="H53:I53"/>
    <mergeCell ref="D88:Q88"/>
    <mergeCell ref="G12:K12"/>
    <mergeCell ref="O22:Q22"/>
    <mergeCell ref="H55:I55"/>
    <mergeCell ref="J59:K59"/>
    <mergeCell ref="L53:M53"/>
    <mergeCell ref="C67:I67"/>
    <mergeCell ref="N53:O53"/>
    <mergeCell ref="B58:F58"/>
    <mergeCell ref="J60:K60"/>
    <mergeCell ref="K28:Q28"/>
    <mergeCell ref="B52:F52"/>
    <mergeCell ref="H23:N23"/>
    <mergeCell ref="L36:O36"/>
    <mergeCell ref="L1:Q1"/>
    <mergeCell ref="O47:Q47"/>
    <mergeCell ref="H19:J19"/>
    <mergeCell ref="J53:K53"/>
    <mergeCell ref="P46:Q46"/>
    <mergeCell ref="B35:Q35"/>
    <mergeCell ref="L9:N9"/>
    <mergeCell ref="B60:F60"/>
    <mergeCell ref="K30:Q30"/>
    <mergeCell ref="F16:I16"/>
    <mergeCell ref="J45:K45"/>
    <mergeCell ref="J89:Q89"/>
    <mergeCell ref="N61:O61"/>
    <mergeCell ref="H52:I52"/>
    <mergeCell ref="B24:J24"/>
    <mergeCell ref="P39:Q39"/>
    <mergeCell ref="B53:F53"/>
    <mergeCell ref="B33:J33"/>
    <mergeCell ref="B82:I82"/>
    <mergeCell ref="B36:G36"/>
    <mergeCell ref="K43:O43"/>
    <mergeCell ref="H45:I45"/>
    <mergeCell ref="B27:Q27"/>
    <mergeCell ref="B5:P5"/>
    <mergeCell ref="K21:Q21"/>
    <mergeCell ref="B32:J32"/>
    <mergeCell ref="B45:G45"/>
    <mergeCell ref="B26:J26"/>
    <mergeCell ref="F15:I15"/>
    <mergeCell ref="M45:N45"/>
    <mergeCell ref="K32:Q32"/>
    <mergeCell ref="O10:Q10"/>
    <mergeCell ref="B14:E14"/>
    <mergeCell ref="H38:J38"/>
    <mergeCell ref="J91:Q91"/>
    <mergeCell ref="O19:Q19"/>
    <mergeCell ref="B25:J25"/>
    <mergeCell ref="P43:Q43"/>
    <mergeCell ref="H62:I62"/>
    <mergeCell ref="J62:K62"/>
    <mergeCell ref="O9:Q9"/>
    <mergeCell ref="B18:J18"/>
    <mergeCell ref="K37:L37"/>
    <mergeCell ref="L38:O38"/>
    <mergeCell ref="L3:Q3"/>
    <mergeCell ref="J58:K58"/>
    <mergeCell ref="C71:I71"/>
    <mergeCell ref="B40:E40"/>
    <mergeCell ref="J64:K64"/>
    <mergeCell ref="B54:F54"/>
    <mergeCell ref="B90:C90"/>
    <mergeCell ref="N63:O63"/>
    <mergeCell ref="H54:I54"/>
    <mergeCell ref="J67:Q67"/>
    <mergeCell ref="M44:N44"/>
    <mergeCell ref="H63:I63"/>
    <mergeCell ref="L8:N8"/>
    <mergeCell ref="N51:O51"/>
    <mergeCell ref="A14:A16"/>
    <mergeCell ref="O45:P45"/>
    <mergeCell ref="B56:F56"/>
    <mergeCell ref="H7:J7"/>
    <mergeCell ref="B29:J29"/>
    <mergeCell ref="H56:I56"/>
    <mergeCell ref="B43:F43"/>
    <mergeCell ref="C66:I66"/>
    <mergeCell ref="L10:N10"/>
    <mergeCell ref="P52:Q52"/>
    <mergeCell ref="J15:N15"/>
    <mergeCell ref="O12:Q12"/>
    <mergeCell ref="B16:E16"/>
    <mergeCell ref="C77:I77"/>
    <mergeCell ref="K25:Q25"/>
    <mergeCell ref="P36:Q36"/>
    <mergeCell ref="O44:P44"/>
    <mergeCell ref="J49:K49"/>
    <mergeCell ref="C68:I68"/>
    <mergeCell ref="F85:G85"/>
    <mergeCell ref="N50:Q50"/>
    <mergeCell ref="N52:O52"/>
    <mergeCell ref="O14:Q14"/>
    <mergeCell ref="O23:Q23"/>
    <mergeCell ref="N49:P49"/>
    <mergeCell ref="L65:Q65"/>
    <mergeCell ref="J16:N16"/>
    <mergeCell ref="A2:Q2"/>
    <mergeCell ref="K29:Q29"/>
    <mergeCell ref="O7:Q7"/>
    <mergeCell ref="G43:I43"/>
    <mergeCell ref="C75:I75"/>
    <mergeCell ref="B42:Q42"/>
    <mergeCell ref="O15:Q15"/>
    <mergeCell ref="K31:Q31"/>
    <mergeCell ref="L59:M59"/>
    <mergeCell ref="L6:M6"/>
    <mergeCell ref="C80:I80"/>
    <mergeCell ref="L39:O39"/>
    <mergeCell ref="B17:Q17"/>
    <mergeCell ref="D46:F46"/>
    <mergeCell ref="B57:Q57"/>
    <mergeCell ref="J90:Q90"/>
    <mergeCell ref="J51:K51"/>
    <mergeCell ref="B89:C89"/>
    <mergeCell ref="J61:K61"/>
    <mergeCell ref="L61:M61"/>
    <mergeCell ref="N55:O55"/>
    <mergeCell ref="H6:J6"/>
    <mergeCell ref="C10:E10"/>
    <mergeCell ref="P4:Q4"/>
    <mergeCell ref="P55:Q55"/>
    <mergeCell ref="H46:J46"/>
    <mergeCell ref="C86:D86"/>
    <mergeCell ref="E87:J87"/>
    <mergeCell ref="H22:N22"/>
    <mergeCell ref="B47:F47"/>
    <mergeCell ref="B62:F62"/>
    <mergeCell ref="P51:Q51"/>
    <mergeCell ref="C70:I70"/>
    <mergeCell ref="J82:Q82"/>
    <mergeCell ref="N54:O54"/>
    <mergeCell ref="B59:F59"/>
    <mergeCell ref="C9:E9"/>
    <mergeCell ref="J14:N14"/>
    <mergeCell ref="B15:E15"/>
    <mergeCell ref="B83:Q83"/>
    <mergeCell ref="P41:Q41"/>
    <mergeCell ref="I3:K3"/>
    <mergeCell ref="H58:I58"/>
    <mergeCell ref="B38:G38"/>
    <mergeCell ref="N56:O56"/>
    <mergeCell ref="B39:F39"/>
    <mergeCell ref="M46:O46"/>
    <mergeCell ref="B34:J34"/>
    <mergeCell ref="P56:Q56"/>
    <mergeCell ref="B48:F48"/>
    <mergeCell ref="B28:J28"/>
    <mergeCell ref="K18:Q18"/>
    <mergeCell ref="C85:D85"/>
    <mergeCell ref="H60:I60"/>
    <mergeCell ref="N58:O58"/>
    <mergeCell ref="B23:F23"/>
    <mergeCell ref="K34:Q34"/>
    <mergeCell ref="I37:J37"/>
    <mergeCell ref="K46:L46"/>
    <mergeCell ref="C84:D84"/>
    <mergeCell ref="B88:C88"/>
    <mergeCell ref="B30:J30"/>
    <mergeCell ref="J68:Q81"/>
    <mergeCell ref="B44:C44"/>
    <mergeCell ref="C74:I74"/>
    <mergeCell ref="B20:J20"/>
    <mergeCell ref="L58:M58"/>
    <mergeCell ref="G39:J39"/>
    <mergeCell ref="D89:I89"/>
    <mergeCell ref="M37:N37"/>
    <mergeCell ref="H8:J8"/>
    <mergeCell ref="K20:Q20"/>
    <mergeCell ref="N59:O59"/>
    <mergeCell ref="K85:Q85"/>
    <mergeCell ref="P53:Q53"/>
    <mergeCell ref="L60:M60"/>
    <mergeCell ref="B7:G7"/>
    <mergeCell ref="C6:E6"/>
    <mergeCell ref="N60:O60"/>
    <mergeCell ref="H10:J10"/>
    <mergeCell ref="L52:M52"/>
    <mergeCell ref="J50:K50"/>
    <mergeCell ref="K84:Q84"/>
    <mergeCell ref="D90:I90"/>
    <mergeCell ref="L19:N19"/>
    <mergeCell ref="C4:E4"/>
    <mergeCell ref="B63:F63"/>
    <mergeCell ref="H9:J9"/>
    <mergeCell ref="B50:F50"/>
    <mergeCell ref="K86:Q86"/>
    <mergeCell ref="J52:K52"/>
    <mergeCell ref="K4:O4"/>
    <mergeCell ref="P54:Q54"/>
    <mergeCell ref="J44:K44"/>
    <mergeCell ref="H47:N47"/>
    <mergeCell ref="H36:J36"/>
    <mergeCell ref="H85:J85"/>
    <mergeCell ref="P38:Q38"/>
    <mergeCell ref="E84:J84"/>
    <mergeCell ref="B46:C46"/>
    <mergeCell ref="P58:Q64"/>
    <mergeCell ref="D91:I91"/>
    <mergeCell ref="H4:I4"/>
    <mergeCell ref="B22:F22"/>
    <mergeCell ref="H44:I44"/>
    <mergeCell ref="F40:G40"/>
    <mergeCell ref="C72:I72"/>
    <mergeCell ref="O16:Q16"/>
    <mergeCell ref="D65:K65"/>
    <mergeCell ref="C81:I81"/>
    <mergeCell ref="C3:G3"/>
    <mergeCell ref="P40:Q40"/>
    <mergeCell ref="F14:I14"/>
    <mergeCell ref="E86:J86"/>
    <mergeCell ref="B12:F12"/>
    <mergeCell ref="H59:I59"/>
    <mergeCell ref="C69:I69"/>
    <mergeCell ref="B37:G37"/>
    <mergeCell ref="I40:O40"/>
    <mergeCell ref="H64:I64"/>
    <mergeCell ref="C78:I78"/>
    <mergeCell ref="L62:M62"/>
    <mergeCell ref="K87:Q87"/>
    <mergeCell ref="C8:E8"/>
    <mergeCell ref="H51:I51"/>
    <mergeCell ref="N62:O62"/>
    <mergeCell ref="I48:Q48"/>
    <mergeCell ref="B61:F61"/>
    <mergeCell ref="O8:Q8"/>
    <mergeCell ref="K24:Q24"/>
    <mergeCell ref="J55:K55"/>
    <mergeCell ref="H61:I61"/>
    <mergeCell ref="K33:Q33"/>
    <mergeCell ref="L55:M55"/>
    <mergeCell ref="L64:M64"/>
    <mergeCell ref="N64:O64"/>
    <mergeCell ref="C19:E19"/>
    <mergeCell ref="L51:M51"/>
    <mergeCell ref="C79:I79"/>
    <mergeCell ref="J54:K54"/>
    <mergeCell ref="K26:Q26"/>
    <mergeCell ref="L54:M54"/>
    <mergeCell ref="J63:K63"/>
    <mergeCell ref="C73:I73"/>
    <mergeCell ref="L63:M63"/>
    <mergeCell ref="J66:Q66"/>
    <mergeCell ref="B65:C65"/>
    <mergeCell ref="L7:N7"/>
    <mergeCell ref="B49:F49"/>
    <mergeCell ref="J56:K56"/>
    <mergeCell ref="L56:M56"/>
    <mergeCell ref="B55:F55"/>
    <mergeCell ref="B64:F64"/>
    <mergeCell ref="B51:F51"/>
    <mergeCell ref="B31:J31"/>
    <mergeCell ref="B13:Q13"/>
    <mergeCell ref="O37:P37"/>
    <mergeCell ref="D44:E44"/>
    <mergeCell ref="C76:I76"/>
    <mergeCell ref="B21:J21"/>
    <mergeCell ref="C87:D87"/>
  </mergeCells>
  <printOptions horizontalCentered="1"/>
  <pageMargins left="0.36" right="0" top="0.5" bottom="0" header="0" footer="0"/>
  <pageSetup orientation="portrait" paperSize="5" scale="85"/>
  <rowBreaks count="1" manualBreakCount="1">
    <brk id="56" min="0" max="16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Sr.No.</t>
        </is>
      </c>
      <c r="B1" t="inlineStr">
        <is>
          <t>Date</t>
        </is>
      </c>
      <c r="C1" t="inlineStr">
        <is>
          <t>Time</t>
        </is>
      </c>
      <c r="D1" t="inlineStr">
        <is>
          <t>Geologist Name</t>
        </is>
      </c>
      <c r="E1" t="inlineStr">
        <is>
          <t>Mapsheetno</t>
        </is>
      </c>
      <c r="F1" t="inlineStr">
        <is>
          <t>well no</t>
        </is>
      </c>
      <c r="G1" t="inlineStr">
        <is>
          <t>Type of well</t>
        </is>
      </c>
      <c r="H1" t="inlineStr">
        <is>
          <t>Well Owner</t>
        </is>
      </c>
      <c r="I1" t="inlineStr">
        <is>
          <t>District Name</t>
        </is>
      </c>
      <c r="J1" t="inlineStr">
        <is>
          <t>Taluka Name</t>
        </is>
      </c>
      <c r="K1" t="inlineStr">
        <is>
          <t>Gp Name</t>
        </is>
      </c>
      <c r="L1" t="inlineStr">
        <is>
          <t>Village Name</t>
        </is>
      </c>
      <c r="M1" t="inlineStr">
        <is>
          <t>Cencess no</t>
        </is>
      </c>
      <c r="N1" t="inlineStr">
        <is>
          <t>Toposheet no</t>
        </is>
      </c>
      <c r="O1" t="inlineStr">
        <is>
          <t>mini watershed</t>
        </is>
      </c>
      <c r="P1" t="inlineStr">
        <is>
          <t>Population</t>
        </is>
      </c>
      <c r="Q1" t="inlineStr">
        <is>
          <t>LatLong</t>
        </is>
      </c>
      <c r="R1" t="inlineStr">
        <is>
          <t>Altitude</t>
        </is>
      </c>
      <c r="S1" t="inlineStr">
        <is>
          <t>Gat no</t>
        </is>
      </c>
      <c r="T1" t="inlineStr">
        <is>
          <t>Qurdant</t>
        </is>
      </c>
      <c r="U1" t="inlineStr">
        <is>
          <t>Measuring Point</t>
        </is>
      </c>
      <c r="V1" t="inlineStr">
        <is>
          <t>Parapet (m)</t>
        </is>
      </c>
      <c r="W1" t="inlineStr">
        <is>
          <t>Diameter (m)</t>
        </is>
      </c>
      <c r="X1" t="inlineStr">
        <is>
          <t>effec. Dia</t>
        </is>
      </c>
      <c r="Y1" t="inlineStr">
        <is>
          <t>Depth</t>
        </is>
      </c>
      <c r="Z1" t="inlineStr">
        <is>
          <t>Curbing (m)</t>
        </is>
      </c>
      <c r="AA1" t="inlineStr">
        <is>
          <t>Type of curbing</t>
        </is>
      </c>
      <c r="AB1" t="inlineStr">
        <is>
          <t>Year of Construction</t>
        </is>
      </c>
      <c r="AC1" t="inlineStr">
        <is>
          <t>DwL</t>
        </is>
      </c>
      <c r="AD1" t="inlineStr">
        <is>
          <t>Winter (SWL)</t>
        </is>
      </c>
      <c r="AE1" t="inlineStr">
        <is>
          <t>Summer (SWL)</t>
        </is>
      </c>
      <c r="AF1" t="inlineStr">
        <is>
          <t>Type of Pump</t>
        </is>
      </c>
      <c r="AG1" t="inlineStr">
        <is>
          <t>Mode of Power</t>
        </is>
      </c>
      <c r="AH1" t="inlineStr">
        <is>
          <t>HP</t>
        </is>
      </c>
      <c r="AI1" t="inlineStr">
        <is>
          <t>Winter pumping hrs</t>
        </is>
      </c>
      <c r="AJ1" t="inlineStr">
        <is>
          <t>Summer pumping hrs</t>
        </is>
      </c>
      <c r="AK1" t="inlineStr">
        <is>
          <t>winter T req recuperation</t>
        </is>
      </c>
      <c r="AL1" t="inlineStr">
        <is>
          <t>Summer T req recuperation</t>
        </is>
      </c>
      <c r="AM1" t="inlineStr">
        <is>
          <t>Project Irri(PT/MInor)</t>
        </is>
      </c>
      <c r="AN1" t="inlineStr">
        <is>
          <t>Distance</t>
        </is>
      </c>
      <c r="AO1" t="inlineStr">
        <is>
          <t>Canal</t>
        </is>
      </c>
      <c r="AP1" t="inlineStr">
        <is>
          <t>Distance c</t>
        </is>
      </c>
      <c r="AQ1" t="inlineStr">
        <is>
          <t>Cultivable land (Ha)</t>
        </is>
      </c>
      <c r="AR1" t="inlineStr">
        <is>
          <t>Kharif Crop1</t>
        </is>
      </c>
      <c r="AS1" t="inlineStr">
        <is>
          <t>Kharif Crop2</t>
        </is>
      </c>
      <c r="AT1" t="inlineStr">
        <is>
          <t>Kharif Crop3</t>
        </is>
      </c>
      <c r="AU1" t="inlineStr">
        <is>
          <t>Kharif Crop land Flood (Ha)1</t>
        </is>
      </c>
      <c r="AV1" t="inlineStr">
        <is>
          <t>Kharif Crop land Flood (Ha)2</t>
        </is>
      </c>
      <c r="AW1" t="inlineStr">
        <is>
          <t>Kharif Crop land Flood (Ha)3</t>
        </is>
      </c>
      <c r="AX1" t="inlineStr">
        <is>
          <t>Kharif Crop land Sprinkler (Ha)1</t>
        </is>
      </c>
      <c r="AY1" t="inlineStr">
        <is>
          <t>Kharif Crop land Sprinkler (Ha)2</t>
        </is>
      </c>
      <c r="AZ1" t="inlineStr">
        <is>
          <t>Kharif Crop land Sprinkler (Ha)3</t>
        </is>
      </c>
      <c r="BA1" t="inlineStr">
        <is>
          <t>Kharif Crop land Drip (Ha)1</t>
        </is>
      </c>
      <c r="BB1" t="inlineStr">
        <is>
          <t>Kharif Crop land Drip (Ha)2</t>
        </is>
      </c>
      <c r="BC1" t="inlineStr">
        <is>
          <t>Kharif Crop land Drip (Ha)3</t>
        </is>
      </c>
      <c r="BD1" t="inlineStr">
        <is>
          <t>Rabbi Crop1</t>
        </is>
      </c>
      <c r="BE1" t="inlineStr">
        <is>
          <t>RabbiCrop2</t>
        </is>
      </c>
      <c r="BF1" t="inlineStr">
        <is>
          <t>Rabbi Crop3</t>
        </is>
      </c>
      <c r="BG1" t="inlineStr">
        <is>
          <t>Rabbi Crop land Flood (Ha)1</t>
        </is>
      </c>
      <c r="BH1" t="inlineStr">
        <is>
          <t>Rabbi Crop land Flood (Ha)2</t>
        </is>
      </c>
      <c r="BI1" t="inlineStr">
        <is>
          <t>Rabbi Crop land Flood (Ha)3</t>
        </is>
      </c>
      <c r="BJ1" t="inlineStr">
        <is>
          <t>Rabbi Crop land Sprinkler (Ha)1</t>
        </is>
      </c>
      <c r="BK1" t="inlineStr">
        <is>
          <t>Rabbi Crop land Sprinkler (Ha)2</t>
        </is>
      </c>
      <c r="BL1" t="inlineStr">
        <is>
          <t>Rabbi Crop land Sprinkler (Ha)3</t>
        </is>
      </c>
      <c r="BM1" t="inlineStr">
        <is>
          <t>Rabbi Crop land Drip (Ha)1</t>
        </is>
      </c>
      <c r="BN1" t="inlineStr">
        <is>
          <t>Rabbi Crop land Drip (Ha)2</t>
        </is>
      </c>
      <c r="BO1" t="inlineStr">
        <is>
          <t>Rabbi Crop land Drip (Ha)3</t>
        </is>
      </c>
      <c r="BP1" t="inlineStr">
        <is>
          <t>Perennial Crop 1</t>
        </is>
      </c>
      <c r="BQ1" t="inlineStr">
        <is>
          <t>Perennial Crop 2</t>
        </is>
      </c>
      <c r="BR1" t="inlineStr">
        <is>
          <t>Perennial Crop 1 Flood land (Ha)</t>
        </is>
      </c>
      <c r="BS1" t="inlineStr">
        <is>
          <t>Perennial Crop 2 Flood land (Ha)</t>
        </is>
      </c>
      <c r="BT1" t="inlineStr">
        <is>
          <t>Perennial Crop 1 Sprinkler land (Ha)</t>
        </is>
      </c>
      <c r="BU1" t="inlineStr">
        <is>
          <t>Perennial Crop 2 Sprinkler land (Ha)</t>
        </is>
      </c>
      <c r="BV1" t="inlineStr">
        <is>
          <t>Perennial Crop 1 Drip land (Ha)</t>
        </is>
      </c>
      <c r="BW1" t="inlineStr">
        <is>
          <t>Perennial Crop 2 Drip land (Ha)</t>
        </is>
      </c>
      <c r="BX1" t="inlineStr">
        <is>
          <t>Summer Crops 1</t>
        </is>
      </c>
      <c r="BY1" t="inlineStr">
        <is>
          <t>Summer Crops 2</t>
        </is>
      </c>
      <c r="BZ1" t="inlineStr">
        <is>
          <t>Summer Crop Flood 1 land (Ha)</t>
        </is>
      </c>
      <c r="CA1" t="inlineStr">
        <is>
          <t>Summer Crop Flood 2 land (Ha)</t>
        </is>
      </c>
      <c r="CB1" t="inlineStr">
        <is>
          <t>Summer Crop Sprinkler 1 land (Ha)</t>
        </is>
      </c>
      <c r="CC1" t="inlineStr">
        <is>
          <t>Summer Crop Sprinkler 2 land (Ha)</t>
        </is>
      </c>
      <c r="CD1" t="inlineStr">
        <is>
          <t>Summer Crop Drip 1 land (Ha)</t>
        </is>
      </c>
      <c r="CE1" t="inlineStr">
        <is>
          <t>Summer Crop Drip 2 land (Ha)</t>
        </is>
      </c>
      <c r="CF1" t="inlineStr">
        <is>
          <t>Photo</t>
        </is>
      </c>
      <c r="CG1" t="inlineStr">
        <is>
          <t>Litho 1</t>
        </is>
      </c>
      <c r="CH1" t="inlineStr">
        <is>
          <t>Depth Litho 1</t>
        </is>
      </c>
      <c r="CI1" t="inlineStr">
        <is>
          <t>Litho 2</t>
        </is>
      </c>
      <c r="CJ1" t="inlineStr">
        <is>
          <t>Depth Litho 2</t>
        </is>
      </c>
      <c r="CK1" t="inlineStr">
        <is>
          <t>Litho 3</t>
        </is>
      </c>
      <c r="CL1" t="inlineStr">
        <is>
          <t>Depth Litho 3</t>
        </is>
      </c>
      <c r="CM1" t="inlineStr">
        <is>
          <t>Litho4</t>
        </is>
      </c>
      <c r="CN1" t="inlineStr">
        <is>
          <t>Depth Litho4</t>
        </is>
      </c>
      <c r="CO1" t="inlineStr">
        <is>
          <t>Litho 5</t>
        </is>
      </c>
      <c r="CP1" t="inlineStr">
        <is>
          <t>Depth Litho 5</t>
        </is>
      </c>
      <c r="CQ1" t="inlineStr">
        <is>
          <t>nearest well</t>
        </is>
      </c>
      <c r="CR1" t="inlineStr">
        <is>
          <t>Remarks</t>
        </is>
      </c>
      <c r="CS1" t="inlineStr">
        <is>
          <t>Perennial 1 Kharif Waterings</t>
        </is>
      </c>
      <c r="CT1" t="inlineStr">
        <is>
          <t>Perennial 1 Kharif Depth (m)</t>
        </is>
      </c>
      <c r="CU1" t="inlineStr">
        <is>
          <t>Perennial 2 Kharif Waterings</t>
        </is>
      </c>
      <c r="CV1" t="inlineStr">
        <is>
          <t>Perennial 2 Kharif Depth (m)</t>
        </is>
      </c>
      <c r="CW1" t="inlineStr">
        <is>
          <t>Kharif 1 Waterings</t>
        </is>
      </c>
      <c r="CX1" t="inlineStr">
        <is>
          <t>Kharif 1 Depth (m)</t>
        </is>
      </c>
      <c r="CY1" t="inlineStr">
        <is>
          <t>Kharif 2 Waterings</t>
        </is>
      </c>
      <c r="CZ1" t="inlineStr">
        <is>
          <t>Kharif 2 Depth (m)</t>
        </is>
      </c>
      <c r="DA1" t="inlineStr">
        <is>
          <t>Kharif 3 Waterings</t>
        </is>
      </c>
      <c r="DB1" t="inlineStr">
        <is>
          <t>Kharif 3 Depth (m)</t>
        </is>
      </c>
      <c r="DC1" t="inlineStr">
        <is>
          <t>Perennial 1 Rabi Waterings</t>
        </is>
      </c>
      <c r="DD1" t="inlineStr">
        <is>
          <t>Perennial 1 Rabi Depth (m)</t>
        </is>
      </c>
      <c r="DE1" t="inlineStr">
        <is>
          <t>Perennial 2 Rabi Waterings</t>
        </is>
      </c>
      <c r="DF1" t="inlineStr">
        <is>
          <t>Perennial 2 Rabi Depth (m)</t>
        </is>
      </c>
      <c r="DG1" t="inlineStr">
        <is>
          <t>Rabi 1 Waterings</t>
        </is>
      </c>
      <c r="DH1" t="inlineStr">
        <is>
          <t>Rabi 1 Depth (m)</t>
        </is>
      </c>
      <c r="DI1" t="inlineStr">
        <is>
          <t>Rabi 2 Waterings</t>
        </is>
      </c>
      <c r="DJ1" t="inlineStr">
        <is>
          <t>Rabi 2 Depth (m)</t>
        </is>
      </c>
      <c r="DK1" t="inlineStr">
        <is>
          <t>Rabi 3 Waterings</t>
        </is>
      </c>
      <c r="DL1" t="inlineStr">
        <is>
          <t>Rabi 3 Depth (m)</t>
        </is>
      </c>
      <c r="DM1" t="inlineStr">
        <is>
          <t>Perennial 1 Summer Waterings</t>
        </is>
      </c>
      <c r="DN1" t="inlineStr">
        <is>
          <t>Perennial 1 Summer Depth (m)</t>
        </is>
      </c>
      <c r="DO1" t="inlineStr">
        <is>
          <t>Perennial 2 Summer Waterings</t>
        </is>
      </c>
      <c r="DP1" t="inlineStr">
        <is>
          <t>Perennial 2 Summer Depth (m)</t>
        </is>
      </c>
      <c r="DQ1" t="inlineStr">
        <is>
          <t>Summer 1 Waterings</t>
        </is>
      </c>
      <c r="DR1" t="inlineStr">
        <is>
          <t>Summer 1 Depth (m)</t>
        </is>
      </c>
      <c r="DS1" t="inlineStr">
        <is>
          <t>Summer 2 Waterings</t>
        </is>
      </c>
      <c r="DT1" t="inlineStr">
        <is>
          <t>Summer 2 Depth (m)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1"/>
  <sheetViews>
    <sheetView workbookViewId="0">
      <selection activeCell="A1" sqref="A1"/>
    </sheetView>
  </sheetViews>
  <sheetFormatPr baseColWidth="8" defaultRowHeight="14.5"/>
  <cols>
    <col width="10" customWidth="1" style="120" min="1" max="1"/>
    <col width="28" customWidth="1" style="120" min="2" max="2"/>
    <col width="14" customWidth="1" style="120" min="3" max="4"/>
    <col width="17" customWidth="1" style="120" min="5" max="5"/>
    <col width="14" customWidth="1" style="120" min="6" max="6"/>
    <col width="21" customWidth="1" style="120" min="7" max="7"/>
    <col width="14" customWidth="1" style="120" min="8" max="10"/>
    <col width="16" customWidth="1" style="120" min="11" max="11"/>
    <col width="14" customWidth="1" style="120" min="12" max="13"/>
    <col width="15" customWidth="1" style="120" min="14" max="14"/>
    <col width="14" customWidth="1" style="120" min="15" max="15"/>
    <col width="15" customWidth="1" style="120" min="16" max="16"/>
    <col width="17" customWidth="1" style="120" min="17" max="17"/>
    <col width="14" customWidth="1" style="120" min="18" max="20"/>
    <col width="23" customWidth="1" style="120" min="21" max="21"/>
    <col width="24" customWidth="1" style="120" min="22" max="22"/>
    <col width="18" customWidth="1" style="120" min="23" max="24"/>
    <col width="14" customWidth="1" style="120" min="25" max="25"/>
    <col width="19" customWidth="1" style="120" min="26" max="26"/>
    <col width="22" customWidth="1" style="120" min="27" max="27"/>
    <col width="17" customWidth="1" style="120" min="28" max="28"/>
    <col width="18" customWidth="1" style="120" min="29" max="29"/>
    <col width="14" customWidth="1" style="120" min="30" max="30"/>
    <col width="17" customWidth="1" style="120" min="31" max="31"/>
    <col width="23" customWidth="1" style="120" min="32" max="32"/>
    <col width="14" customWidth="1" style="120" min="33" max="33"/>
    <col width="25" customWidth="1" style="120" min="34" max="34"/>
    <col width="15" customWidth="1" style="120" min="35" max="35"/>
    <col width="16" customWidth="1" style="120" min="36" max="36"/>
    <col width="14" customWidth="1" style="120" min="37" max="37"/>
    <col width="26" customWidth="1" style="120" min="38" max="39"/>
    <col width="24" customWidth="1" style="120" min="40" max="41"/>
    <col width="20" customWidth="1" style="120" min="42" max="42"/>
    <col width="19" customWidth="1" style="120" min="43" max="43"/>
    <col width="27" customWidth="1" style="120" min="44" max="44"/>
    <col width="21" customWidth="1" style="120" min="45" max="46"/>
    <col width="14" customWidth="1" style="120" min="47" max="47"/>
    <col width="19" customWidth="1" style="120" min="48" max="49"/>
    <col width="22" customWidth="1" style="120" min="50" max="50"/>
    <col width="25" customWidth="1" style="120" min="51" max="51"/>
    <col width="26" customWidth="1" style="120" min="52" max="52"/>
    <col width="29" customWidth="1" style="120" min="53" max="53"/>
    <col width="34" customWidth="1" style="120" min="54" max="54"/>
    <col width="19" customWidth="1" style="120" min="55" max="56"/>
    <col width="22" customWidth="1" style="120" min="57" max="57"/>
    <col width="25" customWidth="1" style="120" min="58" max="58"/>
    <col width="26" customWidth="1" style="120" min="59" max="59"/>
    <col width="29" customWidth="1" style="120" min="60" max="60"/>
    <col width="34" customWidth="1" style="120" min="61" max="61"/>
    <col width="25" customWidth="1" style="120" min="62" max="63"/>
    <col width="17" customWidth="1" style="120" min="64" max="64"/>
    <col width="33" customWidth="1" style="120" min="65" max="65"/>
    <col width="14" customWidth="1" style="120" min="66" max="66"/>
    <col width="29" customWidth="1" style="120" min="67" max="67"/>
    <col width="25" customWidth="1" style="120" min="68" max="68"/>
    <col width="17" customWidth="1" style="120" min="69" max="69"/>
    <col width="19" customWidth="1" style="120" min="70" max="70"/>
    <col width="31" customWidth="1" style="120" min="71" max="71"/>
    <col width="32" customWidth="1" style="120" min="72" max="73"/>
    <col width="23" customWidth="1" style="120" min="74" max="74"/>
    <col width="33" customWidth="1" style="120" min="75" max="75"/>
    <col width="31" customWidth="1" style="120" min="76" max="76"/>
    <col width="33" customWidth="1" style="120" min="77" max="77"/>
    <col width="32" customWidth="1" style="120" min="78" max="78"/>
    <col width="24" customWidth="1" style="120" min="79" max="79"/>
    <col width="22" customWidth="1" style="120" min="80" max="80"/>
    <col width="24" customWidth="1" style="120" min="81" max="81"/>
    <col width="23" customWidth="1" style="120" min="82" max="82"/>
    <col width="14" customWidth="1" style="120" min="83" max="83"/>
    <col width="20" customWidth="1" style="120" min="84" max="84"/>
    <col width="14" customWidth="1" style="120" min="85" max="85"/>
    <col width="20" customWidth="1" style="120" min="86" max="86"/>
    <col width="14" customWidth="1" style="120" min="87" max="87"/>
    <col width="20" customWidth="1" style="120" min="88" max="88"/>
    <col width="14" customWidth="1" style="120" min="89" max="89"/>
    <col width="20" customWidth="1" style="120" min="90" max="90"/>
    <col width="14" customWidth="1" style="120" min="91" max="91"/>
    <col width="20" customWidth="1" style="120" min="92" max="92"/>
    <col width="24" customWidth="1" style="120" min="93" max="93"/>
    <col width="15" customWidth="1" style="120" min="94" max="94"/>
    <col width="14" customWidth="1" style="120" min="95" max="96"/>
  </cols>
  <sheetData>
    <row r="1" ht="28" customHeight="1" s="120">
      <c r="A1" s="87" t="inlineStr">
        <is>
          <t>Sr. No.</t>
        </is>
      </c>
      <c r="B1" s="160" t="inlineStr">
        <is>
          <t>Smart Hydro-Geo ID</t>
        </is>
      </c>
      <c r="C1" s="87" t="inlineStr">
        <is>
          <t>Survey Category</t>
        </is>
      </c>
      <c r="D1" s="87" t="inlineStr">
        <is>
          <t>Date</t>
        </is>
      </c>
      <c r="E1" s="87" t="inlineStr">
        <is>
          <t>Time</t>
        </is>
      </c>
      <c r="F1" s="87" t="inlineStr">
        <is>
          <t>Geologist Name</t>
        </is>
      </c>
      <c r="G1" s="87" t="inlineStr">
        <is>
          <t>Designation</t>
        </is>
      </c>
      <c r="H1" s="87" t="inlineStr">
        <is>
          <t>Project Assignment</t>
        </is>
      </c>
      <c r="I1" s="87" t="inlineStr">
        <is>
          <t>Well Seq No</t>
        </is>
      </c>
      <c r="J1" s="87" t="inlineStr">
        <is>
          <t>Well Type</t>
        </is>
      </c>
      <c r="K1" s="87" t="inlineStr">
        <is>
          <t>Well Owner</t>
        </is>
      </c>
      <c r="L1" s="87" t="inlineStr">
        <is>
          <t>District Name</t>
        </is>
      </c>
      <c r="M1" s="87" t="inlineStr">
        <is>
          <t>Taluka Name</t>
        </is>
      </c>
      <c r="N1" s="87" t="inlineStr">
        <is>
          <t>Gp Name</t>
        </is>
      </c>
      <c r="O1" s="87" t="inlineStr">
        <is>
          <t>Village Name</t>
        </is>
      </c>
      <c r="P1" s="87" t="inlineStr">
        <is>
          <t>Census No</t>
        </is>
      </c>
      <c r="Q1" s="87" t="inlineStr">
        <is>
          <t>Toposheet no</t>
        </is>
      </c>
      <c r="R1" s="87" t="inlineStr">
        <is>
          <t>mini watershed</t>
        </is>
      </c>
      <c r="S1" s="87" t="inlineStr">
        <is>
          <t>Mapsheetno</t>
        </is>
      </c>
      <c r="T1" s="87" t="inlineStr">
        <is>
          <t>Qurdant</t>
        </is>
      </c>
      <c r="U1" s="87" t="inlineStr">
        <is>
          <t>Gat no</t>
        </is>
      </c>
      <c r="V1" s="87" t="inlineStr">
        <is>
          <t>Lat (Degree Decimal)</t>
        </is>
      </c>
      <c r="W1" s="87" t="inlineStr">
        <is>
          <t>Long (Degree Decimal)</t>
        </is>
      </c>
      <c r="X1" s="87" t="inlineStr">
        <is>
          <t>Altitude GL (m)</t>
        </is>
      </c>
      <c r="Y1" s="87" t="inlineStr">
        <is>
          <t>Measuring Point</t>
        </is>
      </c>
      <c r="Z1" s="87" t="inlineStr">
        <is>
          <t>Parapet (m)</t>
        </is>
      </c>
      <c r="AA1" s="87" t="inlineStr">
        <is>
          <t>Diameter Top (m)</t>
        </is>
      </c>
      <c r="AB1" s="87" t="inlineStr">
        <is>
          <t>Diameter Bottom (m)</t>
        </is>
      </c>
      <c r="AC1" s="87" t="inlineStr">
        <is>
          <t>effec. Dia (m)</t>
        </is>
      </c>
      <c r="AD1" s="87" t="inlineStr">
        <is>
          <t>Type of curbing</t>
        </is>
      </c>
      <c r="AE1" s="87" t="inlineStr">
        <is>
          <t>Curbing (m)</t>
        </is>
      </c>
      <c r="AF1" s="87" t="inlineStr">
        <is>
          <t>Well Condition</t>
        </is>
      </c>
      <c r="AG1" s="87" t="inlineStr">
        <is>
          <t>Year of Construction</t>
        </is>
      </c>
      <c r="AH1" s="87" t="inlineStr">
        <is>
          <t>Depth (m)</t>
        </is>
      </c>
      <c r="AI1" s="87" t="inlineStr">
        <is>
          <t>Depth of Inwell BW (m)</t>
        </is>
      </c>
      <c r="AJ1" s="87" t="inlineStr">
        <is>
          <t>Type of Pump</t>
        </is>
      </c>
      <c r="AK1" s="87" t="inlineStr">
        <is>
          <t>Mode of Power</t>
        </is>
      </c>
      <c r="AL1" s="87" t="inlineStr">
        <is>
          <t>HP</t>
        </is>
      </c>
      <c r="AM1" s="87" t="inlineStr">
        <is>
          <t>Winter Pump Setting (m)</t>
        </is>
      </c>
      <c r="AN1" s="87" t="inlineStr">
        <is>
          <t>Summer Pump Setting (m)</t>
        </is>
      </c>
      <c r="AO1" s="87" t="inlineStr">
        <is>
          <t>Winter Pump Inlet (m)</t>
        </is>
      </c>
      <c r="AP1" s="87" t="inlineStr">
        <is>
          <t>Summer Pump Inlet (m)</t>
        </is>
      </c>
      <c r="AQ1" s="87" t="inlineStr">
        <is>
          <t>Discharge (m3/hr)</t>
        </is>
      </c>
      <c r="AR1" s="87" t="inlineStr">
        <is>
          <t>Discharge Method</t>
        </is>
      </c>
      <c r="AS1" s="87" t="inlineStr">
        <is>
          <t>Kharif Pumping Daily Hrs</t>
        </is>
      </c>
      <c r="AT1" s="87" t="inlineStr">
        <is>
          <t>Winter pumping hrs</t>
        </is>
      </c>
      <c r="AU1" s="87" t="inlineStr">
        <is>
          <t>Summer pumping hrs</t>
        </is>
      </c>
      <c r="AV1" s="87" t="inlineStr">
        <is>
          <t>DwL (m)</t>
        </is>
      </c>
      <c r="AW1" s="87" t="inlineStr">
        <is>
          <t>Winter (SWL) (m)</t>
        </is>
      </c>
      <c r="AX1" s="87" t="inlineStr">
        <is>
          <t>Winter (PWL) (m)</t>
        </is>
      </c>
      <c r="AY1" s="87" t="inlineStr">
        <is>
          <t>Winter Drawdown (m)</t>
        </is>
      </c>
      <c r="AZ1" s="87" t="inlineStr">
        <is>
          <t>Winter Qty Pumped (m3)</t>
        </is>
      </c>
      <c r="BA1" s="87" t="inlineStr">
        <is>
          <t>Winter Vol Storage (m3)</t>
        </is>
      </c>
      <c r="BB1" s="87" t="inlineStr">
        <is>
          <t>Winter Inflow Rate (m3/hr)</t>
        </is>
      </c>
      <c r="BC1" s="87" t="inlineStr">
        <is>
          <t>winter T req recuperation (hrs)</t>
        </is>
      </c>
      <c r="BD1" s="87" t="inlineStr">
        <is>
          <t>Summer (SWL) (m)</t>
        </is>
      </c>
      <c r="BE1" s="87" t="inlineStr">
        <is>
          <t>Summer (PWL) (m)</t>
        </is>
      </c>
      <c r="BF1" s="87" t="inlineStr">
        <is>
          <t>Summer Drawdown (m)</t>
        </is>
      </c>
      <c r="BG1" s="87" t="inlineStr">
        <is>
          <t>Summer Qty Pumped (m3)</t>
        </is>
      </c>
      <c r="BH1" s="87" t="inlineStr">
        <is>
          <t>Summer Vol Storage (m3)</t>
        </is>
      </c>
      <c r="BI1" s="87" t="inlineStr">
        <is>
          <t>Summer Inflow Rate (m3/hr)</t>
        </is>
      </c>
      <c r="BJ1" s="87" t="inlineStr">
        <is>
          <t>Summer T req recuperation (hrs)</t>
        </is>
      </c>
      <c r="BK1" s="87" t="inlineStr">
        <is>
          <t>Annual Fluctuation (m)</t>
        </is>
      </c>
      <c r="BL1" s="87" t="inlineStr">
        <is>
          <t>Project Irri(PT/Minor)</t>
        </is>
      </c>
      <c r="BM1" s="87" t="inlineStr">
        <is>
          <t>Reservoir Type</t>
        </is>
      </c>
      <c r="BN1" s="87" t="inlineStr">
        <is>
          <t>Reservoir Distance &amp; Direction</t>
        </is>
      </c>
      <c r="BO1" s="87" t="inlineStr">
        <is>
          <t>Canal</t>
        </is>
      </c>
      <c r="BP1" s="87" t="inlineStr">
        <is>
          <t>Canal Distance &amp; Direction</t>
        </is>
      </c>
      <c r="BQ1" s="87" t="inlineStr">
        <is>
          <t>Canal Operation Status</t>
        </is>
      </c>
      <c r="BR1" s="87" t="inlineStr">
        <is>
          <t>PWS Population</t>
        </is>
      </c>
      <c r="BS1" s="87" t="inlineStr">
        <is>
          <t>PWS Cattle Count</t>
        </is>
      </c>
      <c r="BT1" s="87" t="inlineStr">
        <is>
          <t>PWS Human Water Req (m3/day)</t>
        </is>
      </c>
      <c r="BU1" s="87" t="inlineStr">
        <is>
          <t>PWS Cattle Water Req (m3/day)</t>
        </is>
      </c>
      <c r="BV1" s="87" t="inlineStr">
        <is>
          <t>PWS Storage Capacity Req (m3)</t>
        </is>
      </c>
      <c r="BW1" s="87" t="inlineStr">
        <is>
          <t>Cultivable land (Ha)</t>
        </is>
      </c>
      <c r="BX1" s="87" t="inlineStr">
        <is>
          <t>Kharif Season Total Days (P59)</t>
        </is>
      </c>
      <c r="BY1" s="87" t="inlineStr">
        <is>
          <t>Rabi Season Total Days (P66)</t>
        </is>
      </c>
      <c r="BZ1" s="87" t="inlineStr">
        <is>
          <t>Summer Season Total Days (P72)</t>
        </is>
      </c>
      <c r="CA1" s="87" t="inlineStr">
        <is>
          <t>Grand Total Season Days (P73)</t>
        </is>
      </c>
      <c r="CB1" s="87" t="inlineStr">
        <is>
          <t>Kharif GW Draft (Ham)</t>
        </is>
      </c>
      <c r="CC1" s="87" t="inlineStr">
        <is>
          <t>Rabi GW Draft (Ham)</t>
        </is>
      </c>
      <c r="CD1" s="87" t="inlineStr">
        <is>
          <t>Summer GW Draft (Ham)</t>
        </is>
      </c>
      <c r="CE1" s="87" t="inlineStr">
        <is>
          <t>Total GW Draft (Ham)</t>
        </is>
      </c>
      <c r="CF1" s="87" t="inlineStr">
        <is>
          <t>Litho 1</t>
        </is>
      </c>
      <c r="CG1" s="87" t="inlineStr">
        <is>
          <t>Depth Litho 1 (m)</t>
        </is>
      </c>
      <c r="CH1" s="87" t="inlineStr">
        <is>
          <t>Litho 2</t>
        </is>
      </c>
      <c r="CI1" s="87" t="inlineStr">
        <is>
          <t>Depth Litho 2 (m)</t>
        </is>
      </c>
      <c r="CJ1" s="87" t="inlineStr">
        <is>
          <t>Litho 3</t>
        </is>
      </c>
      <c r="CK1" s="87" t="inlineStr">
        <is>
          <t>Depth Litho 3 (m)</t>
        </is>
      </c>
      <c r="CL1" s="87" t="inlineStr">
        <is>
          <t>Litho 4</t>
        </is>
      </c>
      <c r="CM1" s="87" t="inlineStr">
        <is>
          <t>Depth Litho 4 (m)</t>
        </is>
      </c>
      <c r="CN1" s="87" t="inlineStr">
        <is>
          <t>Litho 5</t>
        </is>
      </c>
      <c r="CO1" s="87" t="inlineStr">
        <is>
          <t>Depth Litho 5 (m)</t>
        </is>
      </c>
      <c r="CP1" s="87" t="inlineStr">
        <is>
          <t>Inflow Zone Depth (m)</t>
        </is>
      </c>
      <c r="CQ1" s="87" t="inlineStr">
        <is>
          <t>nearest well</t>
        </is>
      </c>
      <c r="CR1" s="87" t="inlineStr">
        <is>
          <t>Photo</t>
        </is>
      </c>
      <c r="CS1" s="87" t="inlineStr">
        <is>
          <t>Remarks</t>
        </is>
      </c>
      <c r="CT1" t="inlineStr">
        <is>
          <t>Total Kharif Cropped Area (Ha)</t>
        </is>
      </c>
      <c r="CU1" t="inlineStr">
        <is>
          <t>Total Rabi Cropped Area (Ha)</t>
        </is>
      </c>
      <c r="CV1" t="inlineStr">
        <is>
          <t>Total Summer Cropped Area (Ha)</t>
        </is>
      </c>
      <c r="CW1" t="inlineStr">
        <is>
          <t>Total Cropped Area (Ha)</t>
        </is>
      </c>
      <c r="CX1" t="inlineStr">
        <is>
          <t>Perennial Crop 1</t>
        </is>
      </c>
      <c r="CY1" t="inlineStr">
        <is>
          <t>Perennial 1 Flood (Ha)</t>
        </is>
      </c>
      <c r="CZ1" t="inlineStr">
        <is>
          <t>Perennial 1 Sprinkler (Ha)</t>
        </is>
      </c>
      <c r="DA1" t="inlineStr">
        <is>
          <t>Perennial 1 Drip (Ha)</t>
        </is>
      </c>
      <c r="DB1" t="inlineStr">
        <is>
          <t>Perennial Crop 2</t>
        </is>
      </c>
      <c r="DC1" t="inlineStr">
        <is>
          <t>Perennial 2 Flood (Ha)</t>
        </is>
      </c>
      <c r="DD1" t="inlineStr">
        <is>
          <t>Perennial 2 Sprinkler (Ha)</t>
        </is>
      </c>
      <c r="DE1" t="inlineStr">
        <is>
          <t>Perennial 2 Drip (Ha)</t>
        </is>
      </c>
      <c r="DF1" t="inlineStr">
        <is>
          <t>Kharif Crop 1</t>
        </is>
      </c>
      <c r="DG1" t="inlineStr">
        <is>
          <t>Kharif 1 Flood (Ha)</t>
        </is>
      </c>
      <c r="DH1" t="inlineStr">
        <is>
          <t>Kharif 1 Sprinkler (Ha)</t>
        </is>
      </c>
      <c r="DI1" t="inlineStr">
        <is>
          <t>Kharif 1 Drip (Ha)</t>
        </is>
      </c>
      <c r="DJ1" t="inlineStr">
        <is>
          <t>Kharif Crop 2</t>
        </is>
      </c>
      <c r="DK1" t="inlineStr">
        <is>
          <t>Kharif 2 Flood (Ha)</t>
        </is>
      </c>
      <c r="DL1" t="inlineStr">
        <is>
          <t>Kharif 2 Sprinkler (Ha)</t>
        </is>
      </c>
      <c r="DM1" t="inlineStr">
        <is>
          <t>Kharif 2 Drip (Ha)</t>
        </is>
      </c>
      <c r="DN1" t="inlineStr">
        <is>
          <t>Kharif Crop 3</t>
        </is>
      </c>
      <c r="DO1" t="inlineStr">
        <is>
          <t>Kharif 3 Flood (Ha)</t>
        </is>
      </c>
      <c r="DP1" t="inlineStr">
        <is>
          <t>Kharif 3 Sprinkler (Ha)</t>
        </is>
      </c>
      <c r="DQ1" t="inlineStr">
        <is>
          <t>Kharif 3 Drip (Ha)</t>
        </is>
      </c>
      <c r="DR1" t="inlineStr">
        <is>
          <t>Rabi Crop 1</t>
        </is>
      </c>
      <c r="DS1" t="inlineStr">
        <is>
          <t>Rabi 1 Flood (Ha)</t>
        </is>
      </c>
      <c r="DT1" t="inlineStr">
        <is>
          <t>Rabi 1 Sprinkler (Ha)</t>
        </is>
      </c>
      <c r="DU1" t="inlineStr">
        <is>
          <t>Rabi 1 Drip (Ha)</t>
        </is>
      </c>
      <c r="DV1" t="inlineStr">
        <is>
          <t>Rabi Crop 2</t>
        </is>
      </c>
      <c r="DW1" t="inlineStr">
        <is>
          <t>Rabi 2 Flood (Ha)</t>
        </is>
      </c>
      <c r="DX1" t="inlineStr">
        <is>
          <t>Rabi 2 Sprinkler (Ha)</t>
        </is>
      </c>
      <c r="DY1" t="inlineStr">
        <is>
          <t>Rabi 2 Drip (Ha)</t>
        </is>
      </c>
      <c r="DZ1" t="inlineStr">
        <is>
          <t>Rabi Crop 3</t>
        </is>
      </c>
      <c r="EA1" t="inlineStr">
        <is>
          <t>Rabi 3 Flood (Ha)</t>
        </is>
      </c>
      <c r="EB1" t="inlineStr">
        <is>
          <t>Rabi 3 Sprinkler (Ha)</t>
        </is>
      </c>
      <c r="EC1" t="inlineStr">
        <is>
          <t>Rabi 3 Drip (Ha)</t>
        </is>
      </c>
      <c r="ED1" t="inlineStr">
        <is>
          <t>Summer Crop 1</t>
        </is>
      </c>
      <c r="EE1" t="inlineStr">
        <is>
          <t>Summer 1 Flood (Ha)</t>
        </is>
      </c>
      <c r="EF1" t="inlineStr">
        <is>
          <t>Summer 1 Sprinkler (Ha)</t>
        </is>
      </c>
      <c r="EG1" t="inlineStr">
        <is>
          <t>Summer 1 Drip (Ha)</t>
        </is>
      </c>
      <c r="EH1" t="inlineStr">
        <is>
          <t>Summer Crop 2</t>
        </is>
      </c>
      <c r="EI1" t="inlineStr">
        <is>
          <t>Summer 2 Flood (Ha)</t>
        </is>
      </c>
      <c r="EJ1" t="inlineStr">
        <is>
          <t>Summer 2 Sprinkler (Ha)</t>
        </is>
      </c>
      <c r="EK1" t="inlineStr">
        <is>
          <t>Summer 2 Drip (Ha)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4.5"/>
  <sheetData>
    <row r="1" ht="28" customHeight="1" s="120">
      <c r="A1" s="161" t="inlineStr">
        <is>
          <t>Sr. No.</t>
        </is>
      </c>
      <c r="B1" s="161" t="inlineStr">
        <is>
          <t>Taluka</t>
        </is>
      </c>
      <c r="C1" s="161" t="inlineStr">
        <is>
          <t>Village</t>
        </is>
      </c>
      <c r="D1" s="161" t="inlineStr">
        <is>
          <t>Owner Name</t>
        </is>
      </c>
      <c r="E1" s="161" t="inlineStr">
        <is>
          <t>Date of Survey</t>
        </is>
      </c>
      <c r="F1" s="161" t="inlineStr">
        <is>
          <t>Type of Well (DW/DCB/BW/TW)</t>
        </is>
      </c>
      <c r="G1" s="161" t="inlineStr">
        <is>
          <t>Gat No.</t>
        </is>
      </c>
      <c r="H1" s="161" t="inlineStr">
        <is>
          <t>10K Sheet Quadrant</t>
        </is>
      </c>
      <c r="I1" s="161" t="inlineStr">
        <is>
          <t>Lat (Degree Decimal)</t>
        </is>
      </c>
      <c r="J1" s="161" t="inlineStr">
        <is>
          <t>Long (Degree Decimal)</t>
        </is>
      </c>
      <c r="K1" s="161" t="inlineStr">
        <is>
          <t>Depth bgl (M.)</t>
        </is>
      </c>
      <c r="L1" s="161" t="inlineStr">
        <is>
          <t>Dia (mm.)</t>
        </is>
      </c>
      <c r="M1" s="161" t="inlineStr">
        <is>
          <t>Curving (M.)</t>
        </is>
      </c>
      <c r="N1" s="161" t="inlineStr">
        <is>
          <t>Depth of Inwell BW (M.)</t>
        </is>
      </c>
      <c r="O1" s="161" t="inlineStr">
        <is>
          <t>Static Water Level (M.) Oct.</t>
        </is>
      </c>
      <c r="P1" s="161" t="inlineStr">
        <is>
          <t>May</t>
        </is>
      </c>
      <c r="Q1" s="161" t="inlineStr">
        <is>
          <t>At the time of visit</t>
        </is>
      </c>
      <c r="R1" s="161" t="inlineStr">
        <is>
          <t>Well Yield Ham. Khariff</t>
        </is>
      </c>
      <c r="S1" s="161" t="inlineStr">
        <is>
          <t>Rabbi</t>
        </is>
      </c>
      <c r="T1" s="161" t="inlineStr">
        <is>
          <t>Summer</t>
        </is>
      </c>
      <c r="U1" s="161" t="inlineStr">
        <is>
          <t>Total</t>
        </is>
      </c>
      <c r="V1" s="161" t="inlineStr">
        <is>
          <t>Well status Perennial/Seasonal</t>
        </is>
      </c>
      <c r="W1" s="161" t="inlineStr">
        <is>
          <t>Surveyed by</t>
        </is>
      </c>
      <c r="X1" s="161" t="inlineStr">
        <is>
          <t>Remark</t>
        </is>
      </c>
      <c r="Y1" s="161" t="inlineStr">
        <is>
          <t>10K Sheet No.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2026-09-27T19:23:21Z</dcterms:modified>
  <cp:lastModifiedBy>Vinayakk Nimbaalkar</cp:lastModifiedBy>
</cp:coreProperties>
</file>